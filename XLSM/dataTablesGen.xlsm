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App Projects\RIZAP-CRM\web-tools\XLSM\"/>
    </mc:Choice>
  </mc:AlternateContent>
  <bookViews>
    <workbookView xWindow="13658" yWindow="2400" windowWidth="9383" windowHeight="7478"/>
  </bookViews>
  <sheets>
    <sheet name="working" sheetId="4" r:id="rId1"/>
    <sheet name="session" sheetId="1" r:id="rId2"/>
    <sheet name="admissionFee" sheetId="5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" l="1"/>
  <c r="I30" i="1"/>
  <c r="I29" i="1"/>
  <c r="I26" i="1"/>
  <c r="I27" i="1"/>
  <c r="I28" i="1"/>
  <c r="I25" i="1"/>
  <c r="I24" i="1"/>
  <c r="I23" i="1"/>
  <c r="I22" i="1"/>
  <c r="I21" i="1"/>
  <c r="I20" i="1"/>
  <c r="I19" i="1"/>
  <c r="I18" i="1"/>
  <c r="I17" i="1"/>
  <c r="I16" i="1"/>
  <c r="I14" i="1"/>
  <c r="I15" i="1"/>
  <c r="I13" i="1"/>
  <c r="I12" i="1"/>
  <c r="I10" i="1"/>
  <c r="I11" i="1"/>
  <c r="I9" i="1"/>
  <c r="I3" i="1"/>
  <c r="I4" i="1"/>
  <c r="I5" i="1"/>
  <c r="I6" i="1"/>
  <c r="I7" i="1"/>
  <c r="I8" i="1"/>
  <c r="I2" i="1"/>
</calcChain>
</file>

<file path=xl/sharedStrings.xml><?xml version="1.0" encoding="utf-8"?>
<sst xmlns="http://schemas.openxmlformats.org/spreadsheetml/2006/main" count="239" uniqueCount="129">
  <si>
    <t>新增 dataTables 產生器</t>
    <phoneticPr fontId="1" type="noConversion"/>
  </si>
  <si>
    <t>前綴</t>
    <phoneticPr fontId="1" type="noConversion"/>
  </si>
  <si>
    <t>標題</t>
    <phoneticPr fontId="1" type="noConversion"/>
  </si>
  <si>
    <t>請從 $A$1 選起</t>
    <phoneticPr fontId="1" type="noConversion"/>
  </si>
  <si>
    <t>name</t>
    <phoneticPr fontId="1" type="noConversion"/>
  </si>
  <si>
    <t>欄位0</t>
    <phoneticPr fontId="1" type="noConversion"/>
  </si>
  <si>
    <t>欄位1</t>
    <phoneticPr fontId="1" type="noConversion"/>
  </si>
  <si>
    <t>欄位2</t>
  </si>
  <si>
    <t>欄位3</t>
  </si>
  <si>
    <t>欄位4</t>
  </si>
  <si>
    <t>欄位5</t>
  </si>
  <si>
    <t>欄位6</t>
  </si>
  <si>
    <t>欄位7</t>
  </si>
  <si>
    <t>width(eg.width:20px)</t>
    <phoneticPr fontId="1" type="noConversion"/>
  </si>
  <si>
    <t>合約狀態</t>
  </si>
  <si>
    <t>負責教練</t>
  </si>
  <si>
    <t>欄位8</t>
  </si>
  <si>
    <t xml:space="preserve">                  &lt;th id="ml-上課時間"&gt;預約時間&lt;/th&gt;                           </t>
  </si>
  <si>
    <t xml:space="preserve">                  &lt;th id="ml-店鋪名稱"&gt;店鋪名稱&lt;/th&gt;</t>
  </si>
  <si>
    <t xml:space="preserve">                  &lt;th id="ml-客戶名字"&gt;客戶名字&lt;/th&gt;</t>
  </si>
  <si>
    <t xml:space="preserve">                  &lt;th id="ml-客戶編號"&gt;客戶編號&lt;/th&gt;</t>
  </si>
  <si>
    <t xml:space="preserve">                  &lt;th id="ml-合約編號"&gt;合約編號&lt;/th&gt;</t>
  </si>
  <si>
    <t xml:space="preserve">                  &lt;th id="ml-負責教練"&gt;負責教練&lt;/th&gt;</t>
  </si>
  <si>
    <t xml:space="preserve">                  &lt;th id="ml-合約名稱"&gt;合約名稱&lt;/th&gt;                            </t>
  </si>
  <si>
    <t xml:space="preserve">                  &lt;th id="ml-合約時間_月"&gt;合約時間_月&lt;/th&gt;</t>
  </si>
  <si>
    <t xml:space="preserve">                  &lt;th id="ml-合約簽訂日期"&gt;合約簽訂日期&lt;/th&gt;</t>
  </si>
  <si>
    <t xml:space="preserve">                  &lt;th id="ml-合約開始日期"&gt;合約開始日期&lt;/th&gt;</t>
  </si>
  <si>
    <t xml:space="preserve">                  &lt;th id="ml-合約期限"&gt;合約期限&lt;/th&gt;</t>
  </si>
  <si>
    <t xml:space="preserve">                  &lt;th id="ml-合約已進行_月"&gt;合約已進行(月)&lt;/th&gt;</t>
  </si>
  <si>
    <t xml:space="preserve">                  &lt;th id="ml-合約總價_含稅"&gt;合約總價(含稅)&lt;/th&gt;</t>
  </si>
  <si>
    <t xml:space="preserve">                  &lt;th id="ml-合約總價_未稅"&gt;合約總價(未稅)&lt;/th&gt;</t>
  </si>
  <si>
    <t xml:space="preserve">                  &lt;th id="ml-合約狀態"&gt;合約狀態&lt;/th&gt;</t>
  </si>
  <si>
    <t xml:space="preserve">                  &lt;th id="ml-開始後來店頻率"&gt;開始後來店頻率&lt;/th&gt;</t>
  </si>
  <si>
    <t xml:space="preserve">                  &lt;th id="ml-堂數排序"&gt;堂數排序&lt;/th&gt;</t>
  </si>
  <si>
    <t xml:space="preserve">                  &lt;th id="ml-合約堂數"&gt;合約堂數&lt;/th&gt;</t>
  </si>
  <si>
    <t xml:space="preserve">                  &lt;th id="ml-合約已執行堂數"&gt;合約已執行堂數&lt;/th&gt;</t>
  </si>
  <si>
    <t xml:space="preserve">                  &lt;th id="ml-合約退會堂數"&gt;合約退會堂數&lt;/th&gt;</t>
  </si>
  <si>
    <t xml:space="preserve">                  &lt;th id="ml-合約剩餘堂數"&gt;合約剩餘堂數&lt;/th&gt;</t>
  </si>
  <si>
    <t xml:space="preserve">                  &lt;th id="ml-課程單價_含稅"&gt;課程單價(含稅)&lt;/th&gt;</t>
  </si>
  <si>
    <t xml:space="preserve">                  &lt;th id="ml-課程單價_未稅"&gt;課程單價(未稅)&lt;/th&gt;</t>
  </si>
  <si>
    <t xml:space="preserve">                  &lt;th id="ml-合約已認列金額_含稅"&gt;合約已認列金額(含稅)&lt;/th&gt;</t>
  </si>
  <si>
    <t xml:space="preserve">                  &lt;th id="ml-合約已認列金額_未稅"&gt;合約已認列金額(未稅)&lt;/th&gt;</t>
  </si>
  <si>
    <t xml:space="preserve">                  &lt;th id="ml-合約未認列金額_含稅"&gt;合約未認列金額(含稅)&lt;/th&gt;</t>
  </si>
  <si>
    <t xml:space="preserve">                  &lt;th id="ml-合約未認列金額_未稅"&gt;合約未認列金額(未稅)&lt;/th&gt;</t>
  </si>
  <si>
    <t xml:space="preserve">                  &lt;th id="ml-當日認列金額_含稅"&gt;當日認列金額(含稅)&lt;/th&gt;                            </t>
  </si>
  <si>
    <t xml:space="preserve">                  &lt;th id="ml-當日認列金額_未稅"&gt;當日認列金額(未稅)&lt;/th&gt;      </t>
  </si>
  <si>
    <t xml:space="preserve">                 &lt;th id="ml-上課日期"&gt;預約日期&lt;/th&gt;</t>
    <phoneticPr fontId="1" type="noConversion"/>
  </si>
  <si>
    <t>上課日期</t>
  </si>
  <si>
    <t>上課時間</t>
  </si>
  <si>
    <t>店鋪名稱</t>
  </si>
  <si>
    <t>客戶名字</t>
  </si>
  <si>
    <t>客戶編號</t>
  </si>
  <si>
    <t>合約編號</t>
  </si>
  <si>
    <t>合約名稱</t>
  </si>
  <si>
    <t>合約時間_月</t>
  </si>
  <si>
    <t>合約簽訂日期</t>
  </si>
  <si>
    <t>合約開始日期</t>
  </si>
  <si>
    <t>合約期限</t>
  </si>
  <si>
    <t>合約已進行_月</t>
  </si>
  <si>
    <t>合約總價_含稅</t>
  </si>
  <si>
    <t>合約總價_未稅</t>
  </si>
  <si>
    <t>開始後來店頻率</t>
  </si>
  <si>
    <t>堂數排序</t>
  </si>
  <si>
    <t>合約堂數</t>
  </si>
  <si>
    <t>合約已執行堂數</t>
  </si>
  <si>
    <t>合約退會堂數</t>
  </si>
  <si>
    <t>合約剩餘堂數</t>
  </si>
  <si>
    <t>課程單價_含稅</t>
  </si>
  <si>
    <t>課程單價_未稅</t>
  </si>
  <si>
    <t>合約已認列金額_含稅</t>
  </si>
  <si>
    <t>合約已認列金額_未稅</t>
  </si>
  <si>
    <t>合約未認列金額_含稅</t>
  </si>
  <si>
    <t>合約未認列金額_未稅</t>
  </si>
  <si>
    <t>當日認列金額_含稅</t>
  </si>
  <si>
    <t>當日認列金額_未稅</t>
  </si>
  <si>
    <t>欄位9</t>
  </si>
  <si>
    <t>欄位10</t>
  </si>
  <si>
    <t>欄位11</t>
  </si>
  <si>
    <t>欄位12</t>
  </si>
  <si>
    <t>欄位13</t>
  </si>
  <si>
    <t>欄位14</t>
  </si>
  <si>
    <t>欄位15</t>
  </si>
  <si>
    <t>欄位16</t>
  </si>
  <si>
    <t>欄位17</t>
  </si>
  <si>
    <t>欄位18</t>
  </si>
  <si>
    <t>欄位19</t>
  </si>
  <si>
    <t>欄位20</t>
  </si>
  <si>
    <t>欄位21</t>
  </si>
  <si>
    <t>欄位22</t>
  </si>
  <si>
    <t>欄位23</t>
  </si>
  <si>
    <t>欄位24</t>
  </si>
  <si>
    <t>欄位25</t>
  </si>
  <si>
    <t>欄位26</t>
  </si>
  <si>
    <t>欄位27</t>
  </si>
  <si>
    <t>欄位28</t>
  </si>
  <si>
    <t>欄位29</t>
  </si>
  <si>
    <t>查詢課程狀況</t>
  </si>
  <si>
    <t>靠右對齊
(eg. v)</t>
    <phoneticPr fontId="1" type="noConversion"/>
  </si>
  <si>
    <t>小數點後兩位數
(eg. v)</t>
    <phoneticPr fontId="1" type="noConversion"/>
  </si>
  <si>
    <t>checkbox (eg. v)</t>
    <phoneticPr fontId="1" type="noConversion"/>
  </si>
  <si>
    <t>v</t>
    <phoneticPr fontId="1" type="noConversion"/>
  </si>
  <si>
    <t>session</t>
    <phoneticPr fontId="1" type="noConversion"/>
  </si>
  <si>
    <t>v</t>
    <phoneticPr fontId="1" type="noConversion"/>
  </si>
  <si>
    <t>簽約員工</t>
    <phoneticPr fontId="1" type="noConversion"/>
  </si>
  <si>
    <t>已認列入會費_含稅</t>
  </si>
  <si>
    <t>已認列入會費_未稅</t>
  </si>
  <si>
    <t>發票種類</t>
  </si>
  <si>
    <t>發票發行日期</t>
    <phoneticPr fontId="1" type="noConversion"/>
  </si>
  <si>
    <t>發票號碼</t>
    <phoneticPr fontId="1" type="noConversion"/>
  </si>
  <si>
    <t>admissionFee</t>
    <phoneticPr fontId="1" type="noConversion"/>
  </si>
  <si>
    <t>product</t>
    <phoneticPr fontId="1" type="noConversion"/>
  </si>
  <si>
    <t>付款方式</t>
    <phoneticPr fontId="1" type="noConversion"/>
  </si>
  <si>
    <t>查詢產品銷售</t>
    <phoneticPr fontId="1" type="noConversion"/>
  </si>
  <si>
    <t>v</t>
    <phoneticPr fontId="1" type="noConversion"/>
  </si>
  <si>
    <t>合約總價_含稅</t>
    <phoneticPr fontId="1" type="noConversion"/>
  </si>
  <si>
    <t>產品單價_含稅</t>
    <phoneticPr fontId="1" type="noConversion"/>
  </si>
  <si>
    <t>產品單價_未稅</t>
    <phoneticPr fontId="1" type="noConversion"/>
  </si>
  <si>
    <t>購買日期</t>
    <phoneticPr fontId="1" type="noConversion"/>
  </si>
  <si>
    <t>店鋪名稱</t>
    <phoneticPr fontId="1" type="noConversion"/>
  </si>
  <si>
    <t>客戶名字</t>
    <phoneticPr fontId="1" type="noConversion"/>
  </si>
  <si>
    <t>客戶編號</t>
    <phoneticPr fontId="1" type="noConversion"/>
  </si>
  <si>
    <t>合約編號</t>
    <phoneticPr fontId="1" type="noConversion"/>
  </si>
  <si>
    <t>產品名稱</t>
    <phoneticPr fontId="1" type="noConversion"/>
  </si>
  <si>
    <t>產品數量</t>
    <phoneticPr fontId="1" type="noConversion"/>
  </si>
  <si>
    <t>合約總價_未稅</t>
    <phoneticPr fontId="1" type="noConversion"/>
  </si>
  <si>
    <t>付款日</t>
    <phoneticPr fontId="1" type="noConversion"/>
  </si>
  <si>
    <t>發票種類</t>
    <phoneticPr fontId="1" type="noConversion"/>
  </si>
  <si>
    <t>付款金額_含稅</t>
    <phoneticPr fontId="1" type="noConversion"/>
  </si>
  <si>
    <t>付款金額_未稅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</si>
</sst>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6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285750</xdr:colOff>
          <xdr:row>5</xdr:row>
          <xdr:rowOff>185738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209550</xdr:rowOff>
        </xdr:from>
        <xdr:to>
          <xdr:col>7</xdr:col>
          <xdr:colOff>285750</xdr:colOff>
          <xdr:row>5</xdr:row>
          <xdr:rowOff>185738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285750</xdr:colOff>
          <xdr:row>5</xdr:row>
          <xdr:rowOff>185738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G22"/>
  <sheetViews>
    <sheetView tabSelected="1" workbookViewId="0">
      <selection sqref="A1:F22"/>
    </sheetView>
  </sheetViews>
  <sheetFormatPr defaultRowHeight="16.149999999999999" x14ac:dyDescent="0.45"/>
  <cols>
    <col min="1" max="1" width="9.33203125" customWidth="1"/>
    <col min="2" max="2" width="18.46484375" customWidth="1"/>
    <col min="3" max="3" width="18.6640625" customWidth="1"/>
    <col min="4" max="4" width="15.265625" customWidth="1"/>
    <col min="5" max="5" width="15.9296875" customWidth="1"/>
    <col min="6" max="6" width="10" customWidth="1"/>
    <col min="7" max="7" width="23.86328125" customWidth="1"/>
  </cols>
  <sheetData>
    <row r="1" spans="1:7" ht="32.25" x14ac:dyDescent="0.45">
      <c r="B1" t="s">
        <v>4</v>
      </c>
      <c r="C1" t="s">
        <v>13</v>
      </c>
      <c r="D1" t="s">
        <v>99</v>
      </c>
      <c r="E1" s="2" t="s">
        <v>98</v>
      </c>
      <c r="F1" s="2" t="s">
        <v>97</v>
      </c>
      <c r="G1" s="1" t="s">
        <v>0</v>
      </c>
    </row>
    <row r="2" spans="1:7" x14ac:dyDescent="0.45">
      <c r="A2" t="s">
        <v>1</v>
      </c>
      <c r="B2" t="s">
        <v>110</v>
      </c>
      <c r="G2" t="s">
        <v>3</v>
      </c>
    </row>
    <row r="3" spans="1:7" x14ac:dyDescent="0.45">
      <c r="A3" t="s">
        <v>2</v>
      </c>
      <c r="B3" t="s">
        <v>112</v>
      </c>
    </row>
    <row r="4" spans="1:7" x14ac:dyDescent="0.45">
      <c r="A4" t="s">
        <v>5</v>
      </c>
      <c r="B4" t="s">
        <v>117</v>
      </c>
    </row>
    <row r="5" spans="1:7" x14ac:dyDescent="0.45">
      <c r="A5" t="s">
        <v>6</v>
      </c>
      <c r="B5" t="s">
        <v>118</v>
      </c>
    </row>
    <row r="6" spans="1:7" x14ac:dyDescent="0.45">
      <c r="A6" t="s">
        <v>7</v>
      </c>
      <c r="B6" t="s">
        <v>119</v>
      </c>
    </row>
    <row r="7" spans="1:7" x14ac:dyDescent="0.45">
      <c r="A7" t="s">
        <v>8</v>
      </c>
      <c r="B7" t="s">
        <v>120</v>
      </c>
    </row>
    <row r="8" spans="1:7" x14ac:dyDescent="0.45">
      <c r="A8" t="s">
        <v>9</v>
      </c>
      <c r="B8" t="s">
        <v>121</v>
      </c>
    </row>
    <row r="9" spans="1:7" x14ac:dyDescent="0.45">
      <c r="A9" t="s">
        <v>10</v>
      </c>
      <c r="B9" t="s">
        <v>103</v>
      </c>
    </row>
    <row r="10" spans="1:7" x14ac:dyDescent="0.45">
      <c r="A10" t="s">
        <v>11</v>
      </c>
      <c r="B10" t="s">
        <v>122</v>
      </c>
    </row>
    <row r="11" spans="1:7" x14ac:dyDescent="0.45">
      <c r="A11" t="s">
        <v>12</v>
      </c>
      <c r="B11" t="s">
        <v>115</v>
      </c>
      <c r="E11" t="s">
        <v>100</v>
      </c>
      <c r="F11" t="s">
        <v>100</v>
      </c>
    </row>
    <row r="12" spans="1:7" x14ac:dyDescent="0.45">
      <c r="A12" t="s">
        <v>16</v>
      </c>
      <c r="B12" t="s">
        <v>116</v>
      </c>
      <c r="E12" t="s">
        <v>100</v>
      </c>
      <c r="F12" t="s">
        <v>100</v>
      </c>
    </row>
    <row r="13" spans="1:7" x14ac:dyDescent="0.45">
      <c r="A13" t="s">
        <v>75</v>
      </c>
      <c r="B13" t="s">
        <v>123</v>
      </c>
      <c r="F13" t="s">
        <v>113</v>
      </c>
    </row>
    <row r="14" spans="1:7" x14ac:dyDescent="0.45">
      <c r="A14" t="s">
        <v>76</v>
      </c>
      <c r="B14" t="s">
        <v>114</v>
      </c>
      <c r="E14" t="s">
        <v>102</v>
      </c>
      <c r="F14" t="s">
        <v>102</v>
      </c>
    </row>
    <row r="15" spans="1:7" x14ac:dyDescent="0.45">
      <c r="A15" t="s">
        <v>77</v>
      </c>
      <c r="B15" t="s">
        <v>124</v>
      </c>
      <c r="E15" t="s">
        <v>102</v>
      </c>
      <c r="F15" t="s">
        <v>102</v>
      </c>
    </row>
    <row r="16" spans="1:7" x14ac:dyDescent="0.45">
      <c r="A16" t="s">
        <v>78</v>
      </c>
      <c r="B16" t="s">
        <v>125</v>
      </c>
    </row>
    <row r="17" spans="1:6" x14ac:dyDescent="0.45">
      <c r="A17" t="s">
        <v>79</v>
      </c>
      <c r="B17" t="s">
        <v>127</v>
      </c>
      <c r="E17" t="s">
        <v>100</v>
      </c>
      <c r="F17" t="s">
        <v>100</v>
      </c>
    </row>
    <row r="18" spans="1:6" x14ac:dyDescent="0.45">
      <c r="A18" t="s">
        <v>80</v>
      </c>
      <c r="B18" t="s">
        <v>128</v>
      </c>
      <c r="E18" t="s">
        <v>100</v>
      </c>
      <c r="F18" t="s">
        <v>100</v>
      </c>
    </row>
    <row r="19" spans="1:6" x14ac:dyDescent="0.45">
      <c r="A19" t="s">
        <v>81</v>
      </c>
      <c r="B19" t="s">
        <v>111</v>
      </c>
    </row>
    <row r="20" spans="1:6" x14ac:dyDescent="0.45">
      <c r="A20" t="s">
        <v>82</v>
      </c>
      <c r="B20" t="s">
        <v>126</v>
      </c>
    </row>
    <row r="21" spans="1:6" x14ac:dyDescent="0.45">
      <c r="A21" t="s">
        <v>83</v>
      </c>
      <c r="B21" t="s">
        <v>107</v>
      </c>
    </row>
    <row r="22" spans="1:6" x14ac:dyDescent="0.45">
      <c r="A22" t="s">
        <v>84</v>
      </c>
      <c r="B22" t="s">
        <v>108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285750</xdr:colOff>
                <xdr:row>5</xdr:row>
                <xdr:rowOff>185738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K33"/>
  <sheetViews>
    <sheetView topLeftCell="A13" workbookViewId="0">
      <selection sqref="A1:F33"/>
    </sheetView>
  </sheetViews>
  <sheetFormatPr defaultRowHeight="16.149999999999999" x14ac:dyDescent="0.45"/>
  <cols>
    <col min="1" max="1" width="9.33203125" customWidth="1"/>
    <col min="2" max="2" width="18.46484375" customWidth="1"/>
    <col min="3" max="3" width="18.6640625" customWidth="1"/>
    <col min="4" max="4" width="15.265625" customWidth="1"/>
    <col min="5" max="5" width="15.9296875" customWidth="1"/>
    <col min="6" max="6" width="10" customWidth="1"/>
    <col min="7" max="7" width="23.86328125" customWidth="1"/>
  </cols>
  <sheetData>
    <row r="1" spans="1:11" ht="32.25" x14ac:dyDescent="0.45">
      <c r="B1" t="s">
        <v>4</v>
      </c>
      <c r="C1" t="s">
        <v>13</v>
      </c>
      <c r="D1" t="s">
        <v>99</v>
      </c>
      <c r="E1" s="2" t="s">
        <v>98</v>
      </c>
      <c r="F1" s="2" t="s">
        <v>97</v>
      </c>
      <c r="G1" s="1" t="s">
        <v>0</v>
      </c>
      <c r="I1" t="str">
        <f>MID($K1, 29, 4)</f>
        <v>上課日期</v>
      </c>
      <c r="K1" t="s">
        <v>46</v>
      </c>
    </row>
    <row r="2" spans="1:11" x14ac:dyDescent="0.45">
      <c r="A2" t="s">
        <v>1</v>
      </c>
      <c r="B2" t="s">
        <v>101</v>
      </c>
      <c r="G2" t="s">
        <v>3</v>
      </c>
      <c r="I2" t="str">
        <f t="shared" ref="I2:I8" si="0">MID($K2, 30, 4)</f>
        <v>上課時間</v>
      </c>
      <c r="K2" t="s">
        <v>17</v>
      </c>
    </row>
    <row r="3" spans="1:11" x14ac:dyDescent="0.45">
      <c r="A3" t="s">
        <v>2</v>
      </c>
      <c r="B3" t="s">
        <v>96</v>
      </c>
      <c r="I3" t="str">
        <f t="shared" si="0"/>
        <v>店鋪名稱</v>
      </c>
      <c r="K3" t="s">
        <v>18</v>
      </c>
    </row>
    <row r="4" spans="1:11" x14ac:dyDescent="0.45">
      <c r="A4" t="s">
        <v>5</v>
      </c>
      <c r="B4" t="s">
        <v>47</v>
      </c>
      <c r="I4" t="str">
        <f t="shared" si="0"/>
        <v>客戶名字</v>
      </c>
      <c r="K4" t="s">
        <v>19</v>
      </c>
    </row>
    <row r="5" spans="1:11" x14ac:dyDescent="0.45">
      <c r="A5" t="s">
        <v>6</v>
      </c>
      <c r="B5" t="s">
        <v>48</v>
      </c>
      <c r="I5" t="str">
        <f t="shared" si="0"/>
        <v>客戶編號</v>
      </c>
      <c r="K5" t="s">
        <v>20</v>
      </c>
    </row>
    <row r="6" spans="1:11" x14ac:dyDescent="0.45">
      <c r="A6" t="s">
        <v>7</v>
      </c>
      <c r="B6" t="s">
        <v>49</v>
      </c>
      <c r="I6" t="str">
        <f t="shared" si="0"/>
        <v>合約編號</v>
      </c>
      <c r="K6" t="s">
        <v>21</v>
      </c>
    </row>
    <row r="7" spans="1:11" x14ac:dyDescent="0.45">
      <c r="A7" t="s">
        <v>8</v>
      </c>
      <c r="B7" t="s">
        <v>50</v>
      </c>
      <c r="I7" t="str">
        <f t="shared" si="0"/>
        <v>負責教練</v>
      </c>
      <c r="K7" t="s">
        <v>22</v>
      </c>
    </row>
    <row r="8" spans="1:11" x14ac:dyDescent="0.45">
      <c r="A8" t="s">
        <v>9</v>
      </c>
      <c r="B8" t="s">
        <v>51</v>
      </c>
      <c r="I8" t="str">
        <f t="shared" si="0"/>
        <v>合約名稱</v>
      </c>
      <c r="K8" t="s">
        <v>23</v>
      </c>
    </row>
    <row r="9" spans="1:11" x14ac:dyDescent="0.45">
      <c r="A9" t="s">
        <v>10</v>
      </c>
      <c r="B9" t="s">
        <v>52</v>
      </c>
      <c r="I9" t="str">
        <f>MID($K9, 30, 6)</f>
        <v>合約時間_月</v>
      </c>
      <c r="K9" t="s">
        <v>24</v>
      </c>
    </row>
    <row r="10" spans="1:11" x14ac:dyDescent="0.45">
      <c r="A10" t="s">
        <v>11</v>
      </c>
      <c r="B10" t="s">
        <v>15</v>
      </c>
      <c r="I10" t="str">
        <f>MID($K10, 30, 6)</f>
        <v>合約簽訂日期</v>
      </c>
      <c r="K10" t="s">
        <v>25</v>
      </c>
    </row>
    <row r="11" spans="1:11" x14ac:dyDescent="0.45">
      <c r="A11" t="s">
        <v>12</v>
      </c>
      <c r="B11" t="s">
        <v>53</v>
      </c>
      <c r="I11" t="str">
        <f>MID($K11, 30, 6)</f>
        <v>合約開始日期</v>
      </c>
      <c r="K11" t="s">
        <v>26</v>
      </c>
    </row>
    <row r="12" spans="1:11" x14ac:dyDescent="0.45">
      <c r="A12" t="s">
        <v>16</v>
      </c>
      <c r="B12" t="s">
        <v>54</v>
      </c>
      <c r="F12" t="s">
        <v>100</v>
      </c>
      <c r="I12" t="str">
        <f>MID($K12, 30, 4)</f>
        <v>合約期限</v>
      </c>
      <c r="K12" t="s">
        <v>27</v>
      </c>
    </row>
    <row r="13" spans="1:11" x14ac:dyDescent="0.45">
      <c r="A13" t="s">
        <v>75</v>
      </c>
      <c r="B13" t="s">
        <v>55</v>
      </c>
      <c r="I13" t="str">
        <f>MID($K13, 30, 7)</f>
        <v>合約已進行_月</v>
      </c>
      <c r="K13" t="s">
        <v>28</v>
      </c>
    </row>
    <row r="14" spans="1:11" x14ac:dyDescent="0.45">
      <c r="A14" t="s">
        <v>76</v>
      </c>
      <c r="B14" t="s">
        <v>56</v>
      </c>
      <c r="I14" t="str">
        <f>MID($K14, 30, 7)</f>
        <v>合約總價_含稅</v>
      </c>
      <c r="K14" t="s">
        <v>29</v>
      </c>
    </row>
    <row r="15" spans="1:11" x14ac:dyDescent="0.45">
      <c r="A15" t="s">
        <v>77</v>
      </c>
      <c r="B15" t="s">
        <v>57</v>
      </c>
      <c r="I15" t="str">
        <f>MID($K15, 30, 7)</f>
        <v>合約總價_未稅</v>
      </c>
      <c r="K15" t="s">
        <v>30</v>
      </c>
    </row>
    <row r="16" spans="1:11" x14ac:dyDescent="0.45">
      <c r="A16" t="s">
        <v>78</v>
      </c>
      <c r="B16" t="s">
        <v>58</v>
      </c>
      <c r="E16" t="s">
        <v>100</v>
      </c>
      <c r="F16" t="s">
        <v>100</v>
      </c>
      <c r="I16" t="str">
        <f>MID($K16, 30, 4)</f>
        <v>合約狀態</v>
      </c>
      <c r="K16" t="s">
        <v>31</v>
      </c>
    </row>
    <row r="17" spans="1:11" x14ac:dyDescent="0.45">
      <c r="A17" t="s">
        <v>79</v>
      </c>
      <c r="B17" t="s">
        <v>59</v>
      </c>
      <c r="E17" t="s">
        <v>100</v>
      </c>
      <c r="F17" t="s">
        <v>100</v>
      </c>
      <c r="I17" t="str">
        <f>MID($K17, 30, 7)</f>
        <v>開始後來店頻率</v>
      </c>
      <c r="K17" t="s">
        <v>32</v>
      </c>
    </row>
    <row r="18" spans="1:11" x14ac:dyDescent="0.45">
      <c r="A18" t="s">
        <v>80</v>
      </c>
      <c r="B18" t="s">
        <v>60</v>
      </c>
      <c r="E18" t="s">
        <v>100</v>
      </c>
      <c r="F18" t="s">
        <v>100</v>
      </c>
      <c r="I18" t="str">
        <f>MID($K18, 30, 4)</f>
        <v>堂數排序</v>
      </c>
      <c r="K18" t="s">
        <v>33</v>
      </c>
    </row>
    <row r="19" spans="1:11" x14ac:dyDescent="0.45">
      <c r="A19" t="s">
        <v>81</v>
      </c>
      <c r="B19" t="s">
        <v>14</v>
      </c>
      <c r="I19" t="str">
        <f>MID($K19, 30, 4)</f>
        <v>合約堂數</v>
      </c>
      <c r="K19" t="s">
        <v>34</v>
      </c>
    </row>
    <row r="20" spans="1:11" x14ac:dyDescent="0.45">
      <c r="A20" t="s">
        <v>82</v>
      </c>
      <c r="B20" t="s">
        <v>61</v>
      </c>
      <c r="E20" t="s">
        <v>100</v>
      </c>
      <c r="F20" t="s">
        <v>100</v>
      </c>
      <c r="I20" t="str">
        <f>MID($K20, 30, 7)</f>
        <v>合約已執行堂數</v>
      </c>
      <c r="K20" t="s">
        <v>35</v>
      </c>
    </row>
    <row r="21" spans="1:11" x14ac:dyDescent="0.45">
      <c r="A21" t="s">
        <v>83</v>
      </c>
      <c r="B21" t="s">
        <v>62</v>
      </c>
      <c r="F21" t="s">
        <v>100</v>
      </c>
      <c r="I21" t="str">
        <f>MID($K21, 30, 6)</f>
        <v>合約退會堂數</v>
      </c>
      <c r="K21" t="s">
        <v>36</v>
      </c>
    </row>
    <row r="22" spans="1:11" x14ac:dyDescent="0.45">
      <c r="A22" t="s">
        <v>84</v>
      </c>
      <c r="B22" t="s">
        <v>63</v>
      </c>
      <c r="F22" t="s">
        <v>100</v>
      </c>
      <c r="I22" t="str">
        <f>MID($K22, 30, 6)</f>
        <v>合約剩餘堂數</v>
      </c>
      <c r="K22" t="s">
        <v>37</v>
      </c>
    </row>
    <row r="23" spans="1:11" x14ac:dyDescent="0.45">
      <c r="A23" t="s">
        <v>85</v>
      </c>
      <c r="B23" t="s">
        <v>64</v>
      </c>
      <c r="F23" t="s">
        <v>100</v>
      </c>
      <c r="I23" t="str">
        <f>MID($K23, 30, 7)</f>
        <v>課程單價_含稅</v>
      </c>
      <c r="K23" t="s">
        <v>38</v>
      </c>
    </row>
    <row r="24" spans="1:11" x14ac:dyDescent="0.45">
      <c r="A24" t="s">
        <v>86</v>
      </c>
      <c r="B24" t="s">
        <v>65</v>
      </c>
      <c r="E24" t="s">
        <v>100</v>
      </c>
      <c r="F24" t="s">
        <v>100</v>
      </c>
      <c r="I24" t="str">
        <f>MID($K24, 30, 7)</f>
        <v>課程單價_未稅</v>
      </c>
      <c r="K24" t="s">
        <v>39</v>
      </c>
    </row>
    <row r="25" spans="1:11" x14ac:dyDescent="0.45">
      <c r="A25" t="s">
        <v>87</v>
      </c>
      <c r="B25" t="s">
        <v>66</v>
      </c>
      <c r="F25" t="s">
        <v>102</v>
      </c>
      <c r="I25" t="str">
        <f>MID($K25, 30, 10)</f>
        <v>合約已認列金額_含稅</v>
      </c>
      <c r="K25" t="s">
        <v>40</v>
      </c>
    </row>
    <row r="26" spans="1:11" x14ac:dyDescent="0.45">
      <c r="A26" t="s">
        <v>88</v>
      </c>
      <c r="B26" t="s">
        <v>67</v>
      </c>
      <c r="E26" t="s">
        <v>100</v>
      </c>
      <c r="F26" t="s">
        <v>100</v>
      </c>
      <c r="I26" t="str">
        <f>MID($K26, 30, 10)</f>
        <v>合約已認列金額_未稅</v>
      </c>
      <c r="K26" t="s">
        <v>41</v>
      </c>
    </row>
    <row r="27" spans="1:11" x14ac:dyDescent="0.45">
      <c r="A27" t="s">
        <v>89</v>
      </c>
      <c r="B27" t="s">
        <v>68</v>
      </c>
      <c r="E27" t="s">
        <v>100</v>
      </c>
      <c r="F27" t="s">
        <v>100</v>
      </c>
      <c r="I27" t="str">
        <f>MID($K27, 30, 10)</f>
        <v>合約未認列金額_含稅</v>
      </c>
      <c r="K27" t="s">
        <v>42</v>
      </c>
    </row>
    <row r="28" spans="1:11" x14ac:dyDescent="0.45">
      <c r="A28" t="s">
        <v>90</v>
      </c>
      <c r="B28" t="s">
        <v>69</v>
      </c>
      <c r="E28" t="s">
        <v>100</v>
      </c>
      <c r="F28" t="s">
        <v>100</v>
      </c>
      <c r="I28" t="str">
        <f>MID($K28, 30, 10)</f>
        <v>合約未認列金額_未稅</v>
      </c>
      <c r="K28" t="s">
        <v>43</v>
      </c>
    </row>
    <row r="29" spans="1:11" x14ac:dyDescent="0.45">
      <c r="A29" t="s">
        <v>91</v>
      </c>
      <c r="B29" t="s">
        <v>70</v>
      </c>
      <c r="E29" t="s">
        <v>100</v>
      </c>
      <c r="F29" t="s">
        <v>100</v>
      </c>
      <c r="I29" t="str">
        <f>MID($K29, 30, 9)</f>
        <v>當日認列金額_含稅</v>
      </c>
      <c r="K29" t="s">
        <v>44</v>
      </c>
    </row>
    <row r="30" spans="1:11" x14ac:dyDescent="0.45">
      <c r="A30" t="s">
        <v>92</v>
      </c>
      <c r="B30" t="s">
        <v>71</v>
      </c>
      <c r="E30" t="s">
        <v>100</v>
      </c>
      <c r="F30" t="s">
        <v>100</v>
      </c>
      <c r="I30" t="str">
        <f>MID($K30, 30, 9)</f>
        <v>當日認列金額_未稅</v>
      </c>
      <c r="K30" t="s">
        <v>45</v>
      </c>
    </row>
    <row r="31" spans="1:11" x14ac:dyDescent="0.45">
      <c r="A31" t="s">
        <v>93</v>
      </c>
      <c r="B31" t="s">
        <v>72</v>
      </c>
      <c r="E31" t="s">
        <v>100</v>
      </c>
      <c r="F31" t="s">
        <v>100</v>
      </c>
    </row>
    <row r="32" spans="1:11" x14ac:dyDescent="0.45">
      <c r="A32" t="s">
        <v>94</v>
      </c>
      <c r="B32" t="s">
        <v>73</v>
      </c>
      <c r="E32" t="s">
        <v>100</v>
      </c>
      <c r="F32" t="s">
        <v>100</v>
      </c>
    </row>
    <row r="33" spans="1:6" x14ac:dyDescent="0.45">
      <c r="A33" t="s">
        <v>95</v>
      </c>
      <c r="B33" t="s">
        <v>74</v>
      </c>
      <c r="E33" t="s">
        <v>100</v>
      </c>
      <c r="F33" t="s">
        <v>100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6</xdr:col>
                <xdr:colOff>0</xdr:colOff>
                <xdr:row>2</xdr:row>
                <xdr:rowOff>209550</xdr:rowOff>
              </from>
              <to>
                <xdr:col>7</xdr:col>
                <xdr:colOff>285750</xdr:colOff>
                <xdr:row>5</xdr:row>
                <xdr:rowOff>185738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G18"/>
  <sheetViews>
    <sheetView workbookViewId="0">
      <selection activeCell="E22" sqref="E22"/>
    </sheetView>
  </sheetViews>
  <sheetFormatPr defaultRowHeight="16.149999999999999" x14ac:dyDescent="0.45"/>
  <cols>
    <col min="1" max="1" width="9.33203125" customWidth="1"/>
    <col min="2" max="2" width="18.46484375" customWidth="1"/>
    <col min="3" max="3" width="18.6640625" customWidth="1"/>
    <col min="4" max="4" width="15.265625" customWidth="1"/>
    <col min="5" max="5" width="15.9296875" customWidth="1"/>
    <col min="6" max="6" width="10" customWidth="1"/>
    <col min="7" max="7" width="23.86328125" customWidth="1"/>
  </cols>
  <sheetData>
    <row r="1" spans="1:7" ht="32.25" x14ac:dyDescent="0.45">
      <c r="B1" t="s">
        <v>4</v>
      </c>
      <c r="C1" t="s">
        <v>13</v>
      </c>
      <c r="D1" t="s">
        <v>99</v>
      </c>
      <c r="E1" s="2" t="s">
        <v>98</v>
      </c>
      <c r="F1" s="2" t="s">
        <v>97</v>
      </c>
      <c r="G1" s="1" t="s">
        <v>0</v>
      </c>
    </row>
    <row r="2" spans="1:7" x14ac:dyDescent="0.45">
      <c r="A2" t="s">
        <v>1</v>
      </c>
      <c r="B2" t="s">
        <v>109</v>
      </c>
      <c r="G2" t="s">
        <v>3</v>
      </c>
    </row>
    <row r="3" spans="1:7" x14ac:dyDescent="0.45">
      <c r="A3" t="s">
        <v>2</v>
      </c>
      <c r="B3" t="s">
        <v>96</v>
      </c>
    </row>
    <row r="4" spans="1:7" x14ac:dyDescent="0.45">
      <c r="A4" t="s">
        <v>5</v>
      </c>
      <c r="B4" t="s">
        <v>47</v>
      </c>
    </row>
    <row r="5" spans="1:7" x14ac:dyDescent="0.45">
      <c r="A5" t="s">
        <v>6</v>
      </c>
      <c r="B5" t="s">
        <v>48</v>
      </c>
    </row>
    <row r="6" spans="1:7" x14ac:dyDescent="0.45">
      <c r="A6" t="s">
        <v>7</v>
      </c>
      <c r="B6" t="s">
        <v>49</v>
      </c>
    </row>
    <row r="7" spans="1:7" x14ac:dyDescent="0.45">
      <c r="A7" t="s">
        <v>8</v>
      </c>
      <c r="B7" t="s">
        <v>50</v>
      </c>
    </row>
    <row r="8" spans="1:7" x14ac:dyDescent="0.45">
      <c r="A8" t="s">
        <v>9</v>
      </c>
      <c r="B8" t="s">
        <v>51</v>
      </c>
    </row>
    <row r="9" spans="1:7" x14ac:dyDescent="0.45">
      <c r="A9" t="s">
        <v>10</v>
      </c>
      <c r="B9" t="s">
        <v>52</v>
      </c>
    </row>
    <row r="10" spans="1:7" x14ac:dyDescent="0.45">
      <c r="A10" t="s">
        <v>11</v>
      </c>
      <c r="B10" t="s">
        <v>103</v>
      </c>
    </row>
    <row r="11" spans="1:7" x14ac:dyDescent="0.45">
      <c r="A11" t="s">
        <v>12</v>
      </c>
      <c r="B11" t="s">
        <v>53</v>
      </c>
    </row>
    <row r="12" spans="1:7" x14ac:dyDescent="0.45">
      <c r="A12" t="s">
        <v>16</v>
      </c>
      <c r="B12" t="s">
        <v>54</v>
      </c>
    </row>
    <row r="13" spans="1:7" x14ac:dyDescent="0.45">
      <c r="A13" t="s">
        <v>75</v>
      </c>
      <c r="B13" t="s">
        <v>55</v>
      </c>
    </row>
    <row r="14" spans="1:7" x14ac:dyDescent="0.45">
      <c r="A14" t="s">
        <v>76</v>
      </c>
      <c r="B14" t="s">
        <v>104</v>
      </c>
      <c r="E14" t="s">
        <v>100</v>
      </c>
      <c r="F14" t="s">
        <v>100</v>
      </c>
    </row>
    <row r="15" spans="1:7" x14ac:dyDescent="0.45">
      <c r="A15" t="s">
        <v>77</v>
      </c>
      <c r="B15" t="s">
        <v>105</v>
      </c>
      <c r="E15" t="s">
        <v>100</v>
      </c>
      <c r="F15" t="s">
        <v>100</v>
      </c>
    </row>
    <row r="16" spans="1:7" x14ac:dyDescent="0.45">
      <c r="A16" t="s">
        <v>78</v>
      </c>
      <c r="B16" t="s">
        <v>106</v>
      </c>
    </row>
    <row r="17" spans="1:2" x14ac:dyDescent="0.45">
      <c r="A17" t="s">
        <v>79</v>
      </c>
      <c r="B17" t="s">
        <v>107</v>
      </c>
    </row>
    <row r="18" spans="1:2" x14ac:dyDescent="0.45">
      <c r="A18" t="s">
        <v>80</v>
      </c>
      <c r="B18" t="s">
        <v>108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285750</xdr:colOff>
                <xdr:row>5</xdr:row>
                <xdr:rowOff>185738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working</vt:lpstr>
      <vt:lpstr>session</vt:lpstr>
      <vt:lpstr>admissionFee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Kang 康博銓 (宇康醫電)</dc:creator>
  <cp:lastModifiedBy>Paul Kang 康博銓 (宇康醫電)</cp:lastModifiedBy>
  <dcterms:created xsi:type="dcterms:W3CDTF">2021-08-04T03:20:47Z</dcterms:created>
  <dcterms:modified xsi:type="dcterms:W3CDTF">2021-08-05T11:18:47Z</dcterms:modified>
</cp:coreProperties>
</file>