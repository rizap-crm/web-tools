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2543" windowHeight="4200" activeTab="3"/>
  </bookViews>
  <sheets>
    <sheet name="contracts" sheetId="6" r:id="rId1"/>
    <sheet name="session" sheetId="1" r:id="rId2"/>
    <sheet name="admissionFee" sheetId="5" r:id="rId3"/>
    <sheet name="product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I30" i="1"/>
  <c r="I29" i="1"/>
  <c r="I26" i="1"/>
  <c r="I27" i="1"/>
  <c r="I28" i="1"/>
  <c r="I25" i="1"/>
  <c r="I24" i="1"/>
  <c r="I23" i="1"/>
  <c r="I22" i="1"/>
  <c r="I21" i="1"/>
  <c r="I20" i="1"/>
  <c r="I19" i="1"/>
  <c r="I18" i="1"/>
  <c r="I17" i="1"/>
  <c r="I16" i="1"/>
  <c r="I14" i="1"/>
  <c r="I15" i="1"/>
  <c r="I13" i="1"/>
  <c r="I12" i="1"/>
  <c r="I10" i="1"/>
  <c r="I11" i="1"/>
  <c r="I9" i="1"/>
  <c r="I3" i="1"/>
  <c r="I4" i="1"/>
  <c r="I5" i="1"/>
  <c r="I6" i="1"/>
  <c r="I7" i="1"/>
  <c r="I8" i="1"/>
  <c r="I2" i="1"/>
</calcChain>
</file>

<file path=xl/sharedStrings.xml><?xml version="1.0" encoding="utf-8"?>
<sst xmlns="http://schemas.openxmlformats.org/spreadsheetml/2006/main" count="408" uniqueCount="230">
  <si>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</si>
  <si>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</si>
  <si>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</si>
  <si>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</si>
  <si>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</si>
  <si>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</si>
  <si>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</si>
  <si>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</si>
  <si>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</si>
  <si>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</si>
  <si>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</si>
  <si>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</si>
  <si>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</si>
  <si>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</si>
  <si>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</si>
  <si>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</si>
  <si>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</si>
  <si>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 xml:space="preserve">                  &lt;th id="ml-上課時間"&gt;預約時間&lt;/th&gt;                           </t>
  </si>
  <si>
    <t xml:space="preserve">                  &lt;th id="ml-店鋪名稱"&gt;店鋪名稱&lt;/th&gt;</t>
  </si>
  <si>
    <t xml:space="preserve">                  &lt;th id="ml-客戶名字"&gt;客戶名字&lt;/th&gt;</t>
  </si>
  <si>
    <t xml:space="preserve">                  &lt;th id="ml-客戶編號"&gt;客戶編號&lt;/th&gt;</t>
  </si>
  <si>
    <t xml:space="preserve">                  &lt;th id="ml-合約編號"&gt;合約編號&lt;/th&gt;</t>
  </si>
  <si>
    <t xml:space="preserve">                  &lt;th id="ml-負責教練"&gt;負責教練&lt;/th&gt;</t>
  </si>
  <si>
    <t xml:space="preserve">                  &lt;th id="ml-合約名稱"&gt;合約名稱&lt;/th&gt;                            </t>
  </si>
  <si>
    <t xml:space="preserve">                  &lt;th id="ml-合約時間_月"&gt;合約時間_月&lt;/th&gt;</t>
  </si>
  <si>
    <t xml:space="preserve">                  &lt;th id="ml-合約簽訂日期"&gt;合約簽訂日期&lt;/th&gt;</t>
  </si>
  <si>
    <t xml:space="preserve">                  &lt;th id="ml-合約開始日期"&gt;合約開始日期&lt;/th&gt;</t>
  </si>
  <si>
    <t xml:space="preserve">                  &lt;th id="ml-合約期限"&gt;合約期限&lt;/th&gt;</t>
  </si>
  <si>
    <t xml:space="preserve">                  &lt;th id="ml-合約已進行_月"&gt;合約已進行(月)&lt;/th&gt;</t>
  </si>
  <si>
    <t xml:space="preserve">                  &lt;th id="ml-合約總價_含稅"&gt;合約總價(含稅)&lt;/th&gt;</t>
  </si>
  <si>
    <t xml:space="preserve">                  &lt;th id="ml-合約總價_未稅"&gt;合約總價(未稅)&lt;/th&gt;</t>
  </si>
  <si>
    <t xml:space="preserve">                  &lt;th id="ml-合約狀態"&gt;合約狀態&lt;/th&gt;</t>
  </si>
  <si>
    <t xml:space="preserve">                  &lt;th id="ml-開始後來店頻率"&gt;開始後來店頻率&lt;/th&gt;</t>
  </si>
  <si>
    <t xml:space="preserve">                  &lt;th id="ml-堂數排序"&gt;堂數排序&lt;/th&gt;</t>
  </si>
  <si>
    <t xml:space="preserve">                  &lt;th id="ml-合約堂數"&gt;合約堂數&lt;/th&gt;</t>
  </si>
  <si>
    <t xml:space="preserve">                  &lt;th id="ml-合約已執行堂數"&gt;合約已執行堂數&lt;/th&gt;</t>
  </si>
  <si>
    <t xml:space="preserve">                  &lt;th id="ml-合約退會堂數"&gt;合約退會堂數&lt;/th&gt;</t>
  </si>
  <si>
    <t xml:space="preserve">                  &lt;th id="ml-合約剩餘堂數"&gt;合約剩餘堂數&lt;/th&gt;</t>
  </si>
  <si>
    <t xml:space="preserve">                  &lt;th id="ml-課程單價_含稅"&gt;課程單價(含稅)&lt;/th&gt;</t>
  </si>
  <si>
    <t xml:space="preserve">                  &lt;th id="ml-課程單價_未稅"&gt;課程單價(未稅)&lt;/th&gt;</t>
  </si>
  <si>
    <t xml:space="preserve">                  &lt;th id="ml-合約已認列金額_含稅"&gt;合約已認列金額(含稅)&lt;/th&gt;</t>
  </si>
  <si>
    <t xml:space="preserve">                  &lt;th id="ml-合約已認列金額_未稅"&gt;合約已認列金額(未稅)&lt;/th&gt;</t>
  </si>
  <si>
    <t xml:space="preserve">                  &lt;th id="ml-合約未認列金額_含稅"&gt;合約未認列金額(含稅)&lt;/th&gt;</t>
  </si>
  <si>
    <t xml:space="preserve">                  &lt;th id="ml-合約未認列金額_未稅"&gt;合約未認列金額(未稅)&lt;/th&gt;</t>
  </si>
  <si>
    <t xml:space="preserve">                  &lt;th id="ml-當日認列金額_含稅"&gt;當日認列金額(含稅)&lt;/th&gt;                            </t>
  </si>
  <si>
    <t xml:space="preserve">                  &lt;th id="ml-當日認列金額_未稅"&gt;當日認列金額(未稅)&lt;/th&gt;      </t>
  </si>
  <si>
    <t xml:space="preserve">                 &lt;th id="ml-上課日期"&gt;預約日期&lt;/th&gt;</t>
    <phoneticPr fontId="1" type="noConversion"/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</si>
  <si>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</si>
  <si>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</si>
  <si>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</si>
  <si>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</si>
  <si>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</si>
  <si>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</si>
  <si>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</si>
  <si>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</si>
  <si>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</si>
  <si>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</si>
  <si>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</si>
  <si>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</si>
  <si>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</si>
  <si>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</si>
  <si>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</si>
  <si>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</si>
  <si>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</si>
  <si>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課程單價_含稅</t>
  </si>
  <si>
    <t>課程單價_未稅</t>
  </si>
  <si>
    <t>合約已認列金額_未稅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</si>
  <si>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</si>
  <si>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</si>
  <si>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</si>
  <si>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</si>
  <si>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</si>
  <si>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</si>
  <si>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</si>
  <si>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</si>
  <si>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</si>
  <si>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</si>
  <si>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</si>
  <si>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</si>
  <si>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</si>
  <si>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</si>
  <si>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</si>
  <si>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</si>
  <si>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</si>
  <si>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</si>
  <si>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</si>
  <si>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</si>
  <si>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</si>
  <si>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</si>
  <si>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</si>
  <si>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</si>
  <si>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</si>
  <si>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</si>
  <si>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</si>
  <si>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</si>
  <si>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</si>
  <si>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</si>
  <si>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</si>
  <si>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</si>
  <si>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</si>
  <si>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</si>
  <si>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</si>
  <si>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</si>
  <si>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</si>
  <si>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</si>
  <si>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</si>
  <si>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</si>
  <si>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</si>
  <si>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</si>
  <si>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</si>
  <si>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</si>
  <si>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</si>
  <si>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</si>
  <si>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</si>
  <si>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</si>
  <si>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</si>
  <si>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</si>
  <si>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</si>
  <si>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</si>
  <si>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</si>
  <si>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</si>
  <si>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</si>
  <si>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</si>
  <si>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</si>
  <si>
    <t>店鋪</t>
  </si>
  <si>
    <t>客戶名稱</t>
  </si>
  <si>
    <t>contract</t>
    <phoneticPr fontId="1" type="noConversion"/>
  </si>
  <si>
    <t>前年度未認列_未稅</t>
    <phoneticPr fontId="1" type="noConversion"/>
  </si>
  <si>
    <t>合約未認列金額_未稅</t>
    <phoneticPr fontId="1" type="noConversion"/>
  </si>
  <si>
    <t>課程單價_含稅</t>
    <phoneticPr fontId="1" type="noConversion"/>
  </si>
  <si>
    <t>課程單價_未稅</t>
    <phoneticPr fontId="1" type="noConversion"/>
  </si>
  <si>
    <t>合約狀態</t>
    <phoneticPr fontId="1" type="noConversion"/>
  </si>
  <si>
    <t>合約已執行堂數</t>
    <phoneticPr fontId="1" type="noConversion"/>
  </si>
  <si>
    <t>合約剩餘堂數</t>
    <phoneticPr fontId="1" type="noConversion"/>
  </si>
  <si>
    <t>合約退費堂數</t>
    <phoneticPr fontId="1" type="noConversion"/>
  </si>
  <si>
    <t>合約退費堂數</t>
    <phoneticPr fontId="1" type="noConversion"/>
  </si>
  <si>
    <t>合約剩餘堂數</t>
    <phoneticPr fontId="1" type="noConversion"/>
  </si>
  <si>
    <t>合約取消堂數</t>
    <phoneticPr fontId="1" type="noConversion"/>
  </si>
  <si>
    <t>前年度合約剩餘堂數</t>
    <phoneticPr fontId="1" type="noConversion"/>
  </si>
  <si>
    <t>合約已認列金額_含稅</t>
    <phoneticPr fontId="1" type="noConversion"/>
  </si>
  <si>
    <t>合約已認列金額_含稅</t>
    <phoneticPr fontId="1" type="noConversion"/>
  </si>
  <si>
    <t>合約已認列金額_未稅</t>
    <phoneticPr fontId="1" type="noConversion"/>
  </si>
  <si>
    <t>合約未認列金額_含稅</t>
    <phoneticPr fontId="1" type="noConversion"/>
  </si>
  <si>
    <t>合約未認列金額_含稅</t>
    <phoneticPr fontId="1" type="noConversion"/>
  </si>
  <si>
    <t>合約已執行堂數</t>
    <phoneticPr fontId="1" type="noConversion"/>
  </si>
  <si>
    <t>前年度未認列_含稅</t>
    <phoneticPr fontId="1" type="noConversion"/>
  </si>
  <si>
    <t>折讓金額_含稅</t>
    <phoneticPr fontId="4" type="noConversion"/>
  </si>
  <si>
    <t>折讓金額_未稅</t>
    <phoneticPr fontId="4" type="noConversion"/>
  </si>
  <si>
    <t>取消金額_含稅</t>
    <phoneticPr fontId="4" type="noConversion"/>
  </si>
  <si>
    <t>取消金額_未稅</t>
    <phoneticPr fontId="4" type="noConversion"/>
  </si>
  <si>
    <t>退費金額_含稅</t>
    <phoneticPr fontId="4" type="noConversion"/>
  </si>
  <si>
    <t>退費金額_未稅</t>
    <phoneticPr fontId="4" type="noConversion"/>
  </si>
  <si>
    <t>顧客已付金額_含稅</t>
    <phoneticPr fontId="4" type="noConversion"/>
  </si>
  <si>
    <t>顧客已付金額_未稅</t>
    <phoneticPr fontId="4" type="noConversion"/>
  </si>
  <si>
    <t>顧客尚未付款_含稅</t>
    <phoneticPr fontId="4" type="noConversion"/>
  </si>
  <si>
    <t>顧客尚未付款_未稅</t>
    <phoneticPr fontId="4" type="noConversion"/>
  </si>
  <si>
    <t>欄位30</t>
  </si>
  <si>
    <t>欄位31</t>
  </si>
  <si>
    <t>欄位32</t>
  </si>
  <si>
    <t>欄位33</t>
  </si>
  <si>
    <t>欄位34</t>
  </si>
  <si>
    <t>欄位35</t>
  </si>
  <si>
    <t>欄位36</t>
  </si>
  <si>
    <t>欄位37</t>
  </si>
  <si>
    <t>欄位38</t>
  </si>
  <si>
    <t>欄位39</t>
  </si>
  <si>
    <t>欄位40</t>
  </si>
  <si>
    <t>欄位41</t>
  </si>
  <si>
    <t>欄位42</t>
  </si>
  <si>
    <t>欄位43</t>
  </si>
  <si>
    <t>欄位44</t>
  </si>
  <si>
    <t>欄位45</t>
  </si>
  <si>
    <t>欄位46</t>
  </si>
  <si>
    <t>欄位47</t>
  </si>
  <si>
    <t>欄位48</t>
  </si>
  <si>
    <t>欄位49</t>
  </si>
  <si>
    <t>欄位50</t>
  </si>
  <si>
    <t>欄位51</t>
  </si>
  <si>
    <t>欄位52</t>
  </si>
  <si>
    <t>欄位53</t>
  </si>
  <si>
    <t>欄位54</t>
  </si>
  <si>
    <t>欄位55</t>
  </si>
  <si>
    <t>欄位56</t>
  </si>
  <si>
    <t>欄位57</t>
  </si>
  <si>
    <t>欄位58</t>
  </si>
  <si>
    <t>欄位59</t>
  </si>
  <si>
    <t>欄位60</t>
  </si>
  <si>
    <t>欄位61</t>
  </si>
  <si>
    <t>欄位62</t>
  </si>
  <si>
    <t>欄位63</t>
  </si>
  <si>
    <t>欄位64</t>
  </si>
  <si>
    <t>欄位65</t>
  </si>
  <si>
    <t>欄位66</t>
  </si>
  <si>
    <t>欄位67</t>
  </si>
  <si>
    <t>欄位68</t>
  </si>
  <si>
    <t>欄位69</t>
  </si>
  <si>
    <t>欄位70</t>
  </si>
  <si>
    <t>欄位71</t>
  </si>
  <si>
    <t>欄位72</t>
  </si>
  <si>
    <t>欄位73</t>
  </si>
  <si>
    <t>3_31之前已認列金額_含稅</t>
    <phoneticPr fontId="4" type="noConversion"/>
  </si>
  <si>
    <t>3_31之前已認列金額_未稅</t>
    <phoneticPr fontId="4" type="noConversion"/>
  </si>
  <si>
    <t>3_31之前合約剩餘金額_含稅</t>
    <phoneticPr fontId="4" type="noConversion"/>
  </si>
  <si>
    <t>3_31之前合約剩餘金額_未稅</t>
    <phoneticPr fontId="4" type="noConversion"/>
  </si>
  <si>
    <t>2021_4已使用</t>
    <phoneticPr fontId="1" type="noConversion"/>
  </si>
  <si>
    <t>2021_5已使用</t>
  </si>
  <si>
    <t>2021_6已使用</t>
  </si>
  <si>
    <t>2021_7已使用</t>
  </si>
  <si>
    <t>2021_8已使用</t>
  </si>
  <si>
    <t>2021_9已使用</t>
  </si>
  <si>
    <t>2021_10已使用</t>
  </si>
  <si>
    <t>2021_11已使用</t>
  </si>
  <si>
    <t>2021_12已使用</t>
  </si>
  <si>
    <t>2022_1已使用</t>
    <phoneticPr fontId="1" type="noConversion"/>
  </si>
  <si>
    <t>2022_2已使用</t>
  </si>
  <si>
    <t>2022_3已使用</t>
  </si>
  <si>
    <t>2021_4已認列</t>
    <phoneticPr fontId="1" type="noConversion"/>
  </si>
  <si>
    <t>2021_5已認列</t>
  </si>
  <si>
    <t>2021_6已認列</t>
  </si>
  <si>
    <t>2021_7已認列</t>
  </si>
  <si>
    <t>2021_8已認列</t>
  </si>
  <si>
    <t>2021_9已認列</t>
  </si>
  <si>
    <t>2021_10已認列</t>
  </si>
  <si>
    <t>2021_11已認列</t>
  </si>
  <si>
    <t>2021_12已認列</t>
  </si>
  <si>
    <t>2022_1已認列</t>
    <phoneticPr fontId="1" type="noConversion"/>
  </si>
  <si>
    <t>2022_2已認列</t>
  </si>
  <si>
    <t>2022_3已認列</t>
  </si>
  <si>
    <t>小計_含稅</t>
    <phoneticPr fontId="1" type="noConversion"/>
  </si>
  <si>
    <t>小計_未稅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</si>
</sst>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78"/>
  <sheetViews>
    <sheetView topLeftCell="A10" workbookViewId="0">
      <selection activeCell="F7" sqref="F7:F80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126</v>
      </c>
      <c r="G2" t="s">
        <v>3</v>
      </c>
    </row>
    <row r="3" spans="1:7" x14ac:dyDescent="0.45">
      <c r="A3" t="s">
        <v>2</v>
      </c>
      <c r="B3" t="s">
        <v>124</v>
      </c>
    </row>
    <row r="4" spans="1:7" x14ac:dyDescent="0.45">
      <c r="A4" t="s">
        <v>5</v>
      </c>
      <c r="B4" t="s">
        <v>125</v>
      </c>
    </row>
    <row r="5" spans="1:7" x14ac:dyDescent="0.45">
      <c r="A5" t="s">
        <v>6</v>
      </c>
      <c r="B5" t="s">
        <v>51</v>
      </c>
    </row>
    <row r="6" spans="1:7" x14ac:dyDescent="0.45">
      <c r="A6" t="s">
        <v>7</v>
      </c>
      <c r="B6" t="s">
        <v>52</v>
      </c>
    </row>
    <row r="7" spans="1:7" x14ac:dyDescent="0.45">
      <c r="A7" t="s">
        <v>8</v>
      </c>
      <c r="B7" t="s">
        <v>15</v>
      </c>
    </row>
    <row r="8" spans="1:7" x14ac:dyDescent="0.45">
      <c r="A8" t="s">
        <v>9</v>
      </c>
      <c r="B8" t="s">
        <v>53</v>
      </c>
    </row>
    <row r="9" spans="1:7" x14ac:dyDescent="0.45">
      <c r="A9" t="s">
        <v>10</v>
      </c>
      <c r="B9" t="s">
        <v>55</v>
      </c>
    </row>
    <row r="10" spans="1:7" x14ac:dyDescent="0.45">
      <c r="A10" t="s">
        <v>11</v>
      </c>
      <c r="B10" t="s">
        <v>109</v>
      </c>
    </row>
    <row r="11" spans="1:7" x14ac:dyDescent="0.45">
      <c r="A11" t="s">
        <v>12</v>
      </c>
      <c r="B11" t="s">
        <v>119</v>
      </c>
    </row>
    <row r="12" spans="1:7" x14ac:dyDescent="0.45">
      <c r="A12" t="s">
        <v>16</v>
      </c>
      <c r="B12" t="s">
        <v>131</v>
      </c>
    </row>
    <row r="13" spans="1:7" x14ac:dyDescent="0.45">
      <c r="A13" t="s">
        <v>70</v>
      </c>
      <c r="B13" t="s">
        <v>63</v>
      </c>
    </row>
    <row r="14" spans="1:7" x14ac:dyDescent="0.45">
      <c r="A14" t="s">
        <v>71</v>
      </c>
      <c r="B14" t="s">
        <v>144</v>
      </c>
    </row>
    <row r="15" spans="1:7" x14ac:dyDescent="0.45">
      <c r="A15" t="s">
        <v>72</v>
      </c>
      <c r="B15" t="s">
        <v>136</v>
      </c>
    </row>
    <row r="16" spans="1:7" x14ac:dyDescent="0.45">
      <c r="A16" t="s">
        <v>73</v>
      </c>
      <c r="B16" t="s">
        <v>135</v>
      </c>
    </row>
    <row r="17" spans="1:2" x14ac:dyDescent="0.45">
      <c r="A17" t="s">
        <v>73</v>
      </c>
      <c r="B17" s="3" t="s">
        <v>137</v>
      </c>
    </row>
    <row r="18" spans="1:2" x14ac:dyDescent="0.45">
      <c r="A18" t="s">
        <v>74</v>
      </c>
      <c r="B18" t="s">
        <v>129</v>
      </c>
    </row>
    <row r="19" spans="1:2" x14ac:dyDescent="0.45">
      <c r="A19" t="s">
        <v>75</v>
      </c>
      <c r="B19" t="s">
        <v>130</v>
      </c>
    </row>
    <row r="20" spans="1:2" x14ac:dyDescent="0.45">
      <c r="A20" t="s">
        <v>76</v>
      </c>
      <c r="B20" s="3" t="s">
        <v>138</v>
      </c>
    </row>
    <row r="21" spans="1:2" x14ac:dyDescent="0.45">
      <c r="A21" t="s">
        <v>77</v>
      </c>
      <c r="B21" s="4" t="s">
        <v>200</v>
      </c>
    </row>
    <row r="22" spans="1:2" x14ac:dyDescent="0.45">
      <c r="A22" t="s">
        <v>78</v>
      </c>
      <c r="B22" s="4" t="s">
        <v>201</v>
      </c>
    </row>
    <row r="23" spans="1:2" x14ac:dyDescent="0.45">
      <c r="A23" t="s">
        <v>79</v>
      </c>
      <c r="B23" s="4" t="s">
        <v>202</v>
      </c>
    </row>
    <row r="24" spans="1:2" x14ac:dyDescent="0.45">
      <c r="A24" t="s">
        <v>80</v>
      </c>
      <c r="B24" s="4" t="s">
        <v>203</v>
      </c>
    </row>
    <row r="25" spans="1:2" x14ac:dyDescent="0.45">
      <c r="A25" t="s">
        <v>81</v>
      </c>
      <c r="B25" s="3" t="s">
        <v>204</v>
      </c>
    </row>
    <row r="26" spans="1:2" x14ac:dyDescent="0.45">
      <c r="A26" t="s">
        <v>82</v>
      </c>
      <c r="B26" s="3" t="s">
        <v>205</v>
      </c>
    </row>
    <row r="27" spans="1:2" x14ac:dyDescent="0.45">
      <c r="A27" t="s">
        <v>83</v>
      </c>
      <c r="B27" s="3" t="s">
        <v>206</v>
      </c>
    </row>
    <row r="28" spans="1:2" x14ac:dyDescent="0.45">
      <c r="A28" t="s">
        <v>84</v>
      </c>
      <c r="B28" s="3" t="s">
        <v>207</v>
      </c>
    </row>
    <row r="29" spans="1:2" x14ac:dyDescent="0.45">
      <c r="A29" t="s">
        <v>85</v>
      </c>
      <c r="B29" s="3" t="s">
        <v>208</v>
      </c>
    </row>
    <row r="30" spans="1:2" x14ac:dyDescent="0.45">
      <c r="A30" t="s">
        <v>86</v>
      </c>
      <c r="B30" s="3" t="s">
        <v>209</v>
      </c>
    </row>
    <row r="31" spans="1:2" x14ac:dyDescent="0.45">
      <c r="A31" t="s">
        <v>87</v>
      </c>
      <c r="B31" s="3" t="s">
        <v>210</v>
      </c>
    </row>
    <row r="32" spans="1:2" x14ac:dyDescent="0.45">
      <c r="A32" t="s">
        <v>88</v>
      </c>
      <c r="B32" s="3" t="s">
        <v>211</v>
      </c>
    </row>
    <row r="33" spans="1:2" x14ac:dyDescent="0.45">
      <c r="A33" t="s">
        <v>89</v>
      </c>
      <c r="B33" s="3" t="s">
        <v>212</v>
      </c>
    </row>
    <row r="34" spans="1:2" x14ac:dyDescent="0.45">
      <c r="A34" t="s">
        <v>90</v>
      </c>
      <c r="B34" s="3" t="s">
        <v>213</v>
      </c>
    </row>
    <row r="35" spans="1:2" x14ac:dyDescent="0.45">
      <c r="A35" t="s">
        <v>156</v>
      </c>
      <c r="B35" s="3" t="s">
        <v>214</v>
      </c>
    </row>
    <row r="36" spans="1:2" x14ac:dyDescent="0.45">
      <c r="A36" t="s">
        <v>157</v>
      </c>
      <c r="B36" s="3" t="s">
        <v>215</v>
      </c>
    </row>
    <row r="37" spans="1:2" x14ac:dyDescent="0.45">
      <c r="A37" t="s">
        <v>158</v>
      </c>
      <c r="B37" s="3" t="s">
        <v>145</v>
      </c>
    </row>
    <row r="38" spans="1:2" x14ac:dyDescent="0.45">
      <c r="A38" t="s">
        <v>159</v>
      </c>
      <c r="B38" s="3" t="s">
        <v>127</v>
      </c>
    </row>
    <row r="39" spans="1:2" x14ac:dyDescent="0.45">
      <c r="A39" t="s">
        <v>160</v>
      </c>
      <c r="B39" s="3" t="s">
        <v>216</v>
      </c>
    </row>
    <row r="40" spans="1:2" x14ac:dyDescent="0.45">
      <c r="A40" t="s">
        <v>161</v>
      </c>
      <c r="B40" s="3" t="s">
        <v>217</v>
      </c>
    </row>
    <row r="41" spans="1:2" x14ac:dyDescent="0.45">
      <c r="A41" t="s">
        <v>162</v>
      </c>
      <c r="B41" s="3" t="s">
        <v>218</v>
      </c>
    </row>
    <row r="42" spans="1:2" x14ac:dyDescent="0.45">
      <c r="A42" t="s">
        <v>163</v>
      </c>
      <c r="B42" s="3" t="s">
        <v>219</v>
      </c>
    </row>
    <row r="43" spans="1:2" x14ac:dyDescent="0.45">
      <c r="A43" t="s">
        <v>164</v>
      </c>
      <c r="B43" s="3" t="s">
        <v>220</v>
      </c>
    </row>
    <row r="44" spans="1:2" x14ac:dyDescent="0.45">
      <c r="A44" t="s">
        <v>165</v>
      </c>
      <c r="B44" s="3" t="s">
        <v>221</v>
      </c>
    </row>
    <row r="45" spans="1:2" x14ac:dyDescent="0.45">
      <c r="A45" t="s">
        <v>166</v>
      </c>
      <c r="B45" s="3" t="s">
        <v>222</v>
      </c>
    </row>
    <row r="46" spans="1:2" x14ac:dyDescent="0.45">
      <c r="A46" t="s">
        <v>167</v>
      </c>
      <c r="B46" s="3" t="s">
        <v>223</v>
      </c>
    </row>
    <row r="47" spans="1:2" x14ac:dyDescent="0.45">
      <c r="A47" t="s">
        <v>168</v>
      </c>
      <c r="B47" s="3" t="s">
        <v>224</v>
      </c>
    </row>
    <row r="48" spans="1:2" x14ac:dyDescent="0.45">
      <c r="A48" t="s">
        <v>169</v>
      </c>
      <c r="B48" s="3" t="s">
        <v>225</v>
      </c>
    </row>
    <row r="49" spans="1:2" x14ac:dyDescent="0.45">
      <c r="A49" t="s">
        <v>170</v>
      </c>
      <c r="B49" s="3" t="s">
        <v>226</v>
      </c>
    </row>
    <row r="50" spans="1:2" x14ac:dyDescent="0.45">
      <c r="A50" t="s">
        <v>171</v>
      </c>
      <c r="B50" s="3" t="s">
        <v>227</v>
      </c>
    </row>
    <row r="51" spans="1:2" x14ac:dyDescent="0.45">
      <c r="A51" t="s">
        <v>172</v>
      </c>
      <c r="B51" t="s">
        <v>140</v>
      </c>
    </row>
    <row r="52" spans="1:2" x14ac:dyDescent="0.45">
      <c r="A52" t="s">
        <v>173</v>
      </c>
      <c r="B52" t="s">
        <v>141</v>
      </c>
    </row>
    <row r="53" spans="1:2" x14ac:dyDescent="0.45">
      <c r="A53" t="s">
        <v>174</v>
      </c>
      <c r="B53" t="s">
        <v>143</v>
      </c>
    </row>
    <row r="54" spans="1:2" x14ac:dyDescent="0.45">
      <c r="A54" t="s">
        <v>175</v>
      </c>
      <c r="B54" t="s">
        <v>128</v>
      </c>
    </row>
    <row r="55" spans="1:2" x14ac:dyDescent="0.45">
      <c r="A55" t="s">
        <v>176</v>
      </c>
      <c r="B55" s="4" t="s">
        <v>152</v>
      </c>
    </row>
    <row r="56" spans="1:2" x14ac:dyDescent="0.45">
      <c r="A56" t="s">
        <v>177</v>
      </c>
      <c r="B56" s="4" t="s">
        <v>153</v>
      </c>
    </row>
    <row r="57" spans="1:2" x14ac:dyDescent="0.45">
      <c r="A57" t="s">
        <v>178</v>
      </c>
      <c r="B57" s="4" t="s">
        <v>154</v>
      </c>
    </row>
    <row r="58" spans="1:2" x14ac:dyDescent="0.45">
      <c r="A58" t="s">
        <v>179</v>
      </c>
      <c r="B58" s="4" t="s">
        <v>155</v>
      </c>
    </row>
    <row r="59" spans="1:2" x14ac:dyDescent="0.45">
      <c r="A59" t="s">
        <v>180</v>
      </c>
      <c r="B59" s="4" t="s">
        <v>146</v>
      </c>
    </row>
    <row r="60" spans="1:2" x14ac:dyDescent="0.45">
      <c r="A60" t="s">
        <v>181</v>
      </c>
      <c r="B60" s="4" t="s">
        <v>147</v>
      </c>
    </row>
    <row r="61" spans="1:2" x14ac:dyDescent="0.45">
      <c r="A61" t="s">
        <v>182</v>
      </c>
      <c r="B61" s="4" t="s">
        <v>148</v>
      </c>
    </row>
    <row r="62" spans="1:2" x14ac:dyDescent="0.45">
      <c r="A62" t="s">
        <v>183</v>
      </c>
      <c r="B62" s="4" t="s">
        <v>149</v>
      </c>
    </row>
    <row r="63" spans="1:2" x14ac:dyDescent="0.45">
      <c r="A63" t="s">
        <v>184</v>
      </c>
      <c r="B63" s="4" t="s">
        <v>150</v>
      </c>
    </row>
    <row r="64" spans="1:2" x14ac:dyDescent="0.45">
      <c r="A64" t="s">
        <v>185</v>
      </c>
      <c r="B64" s="4" t="s">
        <v>151</v>
      </c>
    </row>
    <row r="65" spans="1:2" x14ac:dyDescent="0.45">
      <c r="A65" t="s">
        <v>186</v>
      </c>
      <c r="B65" t="s">
        <v>120</v>
      </c>
    </row>
    <row r="66" spans="1:2" x14ac:dyDescent="0.45">
      <c r="A66" t="s">
        <v>187</v>
      </c>
      <c r="B66" t="s">
        <v>106</v>
      </c>
    </row>
    <row r="67" spans="1:2" x14ac:dyDescent="0.45">
      <c r="A67" t="s">
        <v>188</v>
      </c>
      <c r="B67" t="s">
        <v>122</v>
      </c>
    </row>
    <row r="68" spans="1:2" x14ac:dyDescent="0.45">
      <c r="A68" t="s">
        <v>189</v>
      </c>
      <c r="B68" t="s">
        <v>123</v>
      </c>
    </row>
    <row r="69" spans="1:2" x14ac:dyDescent="0.45">
      <c r="A69" t="s">
        <v>190</v>
      </c>
      <c r="B69" t="s">
        <v>121</v>
      </c>
    </row>
    <row r="70" spans="1:2" x14ac:dyDescent="0.45">
      <c r="A70" t="s">
        <v>191</v>
      </c>
      <c r="B70" t="s">
        <v>102</v>
      </c>
    </row>
    <row r="71" spans="1:2" x14ac:dyDescent="0.45">
      <c r="A71" t="s">
        <v>192</v>
      </c>
      <c r="B71" t="s">
        <v>103</v>
      </c>
    </row>
    <row r="72" spans="1:2" x14ac:dyDescent="0.45">
      <c r="A72" t="s">
        <v>193</v>
      </c>
      <c r="B72" t="s">
        <v>120</v>
      </c>
    </row>
    <row r="73" spans="1:2" x14ac:dyDescent="0.45">
      <c r="A73" t="s">
        <v>194</v>
      </c>
      <c r="B73" t="s">
        <v>106</v>
      </c>
    </row>
    <row r="74" spans="1:2" x14ac:dyDescent="0.45">
      <c r="A74" t="s">
        <v>195</v>
      </c>
      <c r="B74" t="s">
        <v>122</v>
      </c>
    </row>
    <row r="75" spans="1:2" x14ac:dyDescent="0.45">
      <c r="A75" t="s">
        <v>196</v>
      </c>
      <c r="B75" t="s">
        <v>123</v>
      </c>
    </row>
    <row r="76" spans="1:2" x14ac:dyDescent="0.45">
      <c r="A76" t="s">
        <v>197</v>
      </c>
      <c r="B76" t="s">
        <v>121</v>
      </c>
    </row>
    <row r="77" spans="1:2" x14ac:dyDescent="0.45">
      <c r="A77" t="s">
        <v>198</v>
      </c>
      <c r="B77" t="s">
        <v>102</v>
      </c>
    </row>
    <row r="78" spans="1:2" x14ac:dyDescent="0.45">
      <c r="A78" t="s">
        <v>199</v>
      </c>
      <c r="B78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3"/>
  <sheetViews>
    <sheetView topLeftCell="A7" workbookViewId="0">
      <selection activeCell="B30" sqref="B30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11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  <c r="I1" t="str">
        <f>MID($K1, 29, 4)</f>
        <v>上課日期</v>
      </c>
      <c r="K1" t="s">
        <v>46</v>
      </c>
    </row>
    <row r="2" spans="1:11" x14ac:dyDescent="0.45">
      <c r="A2" t="s">
        <v>1</v>
      </c>
      <c r="B2" t="s">
        <v>96</v>
      </c>
      <c r="G2" t="s">
        <v>3</v>
      </c>
      <c r="I2" t="str">
        <f t="shared" ref="I2:I8" si="0">MID($K2, 30, 4)</f>
        <v>上課時間</v>
      </c>
      <c r="K2" t="s">
        <v>17</v>
      </c>
    </row>
    <row r="3" spans="1:11" x14ac:dyDescent="0.45">
      <c r="A3" t="s">
        <v>2</v>
      </c>
      <c r="B3" t="s">
        <v>91</v>
      </c>
      <c r="I3" t="str">
        <f t="shared" si="0"/>
        <v>店鋪名稱</v>
      </c>
      <c r="K3" t="s">
        <v>18</v>
      </c>
    </row>
    <row r="4" spans="1:11" x14ac:dyDescent="0.45">
      <c r="A4" t="s">
        <v>5</v>
      </c>
      <c r="B4" t="s">
        <v>47</v>
      </c>
      <c r="I4" t="str">
        <f t="shared" si="0"/>
        <v>客戶名字</v>
      </c>
      <c r="K4" t="s">
        <v>19</v>
      </c>
    </row>
    <row r="5" spans="1:11" x14ac:dyDescent="0.45">
      <c r="A5" t="s">
        <v>6</v>
      </c>
      <c r="B5" t="s">
        <v>48</v>
      </c>
      <c r="I5" t="str">
        <f t="shared" si="0"/>
        <v>客戶編號</v>
      </c>
      <c r="K5" t="s">
        <v>20</v>
      </c>
    </row>
    <row r="6" spans="1:11" x14ac:dyDescent="0.45">
      <c r="A6" t="s">
        <v>7</v>
      </c>
      <c r="B6" t="s">
        <v>49</v>
      </c>
      <c r="I6" t="str">
        <f t="shared" si="0"/>
        <v>合約編號</v>
      </c>
      <c r="K6" t="s">
        <v>21</v>
      </c>
    </row>
    <row r="7" spans="1:11" x14ac:dyDescent="0.45">
      <c r="A7" t="s">
        <v>8</v>
      </c>
      <c r="B7" t="s">
        <v>50</v>
      </c>
      <c r="I7" t="str">
        <f t="shared" si="0"/>
        <v>負責教練</v>
      </c>
      <c r="K7" t="s">
        <v>22</v>
      </c>
    </row>
    <row r="8" spans="1:11" x14ac:dyDescent="0.45">
      <c r="A8" t="s">
        <v>9</v>
      </c>
      <c r="B8" t="s">
        <v>51</v>
      </c>
      <c r="I8" t="str">
        <f t="shared" si="0"/>
        <v>合約名稱</v>
      </c>
      <c r="K8" t="s">
        <v>23</v>
      </c>
    </row>
    <row r="9" spans="1:11" x14ac:dyDescent="0.45">
      <c r="A9" t="s">
        <v>10</v>
      </c>
      <c r="B9" t="s">
        <v>52</v>
      </c>
      <c r="I9" t="str">
        <f>MID($K9, 30, 6)</f>
        <v>合約時間_月</v>
      </c>
      <c r="K9" t="s">
        <v>24</v>
      </c>
    </row>
    <row r="10" spans="1:11" x14ac:dyDescent="0.45">
      <c r="A10" t="s">
        <v>11</v>
      </c>
      <c r="B10" t="s">
        <v>15</v>
      </c>
      <c r="I10" t="str">
        <f>MID($K10, 30, 6)</f>
        <v>合約簽訂日期</v>
      </c>
      <c r="K10" t="s">
        <v>25</v>
      </c>
    </row>
    <row r="11" spans="1:11" x14ac:dyDescent="0.45">
      <c r="A11" t="s">
        <v>12</v>
      </c>
      <c r="B11" t="s">
        <v>53</v>
      </c>
      <c r="I11" t="str">
        <f>MID($K11, 30, 6)</f>
        <v>合約開始日期</v>
      </c>
      <c r="K11" t="s">
        <v>26</v>
      </c>
    </row>
    <row r="12" spans="1:11" x14ac:dyDescent="0.45">
      <c r="A12" t="s">
        <v>16</v>
      </c>
      <c r="B12" t="s">
        <v>54</v>
      </c>
      <c r="F12" t="s">
        <v>95</v>
      </c>
      <c r="I12" t="str">
        <f>MID($K12, 30, 4)</f>
        <v>合約期限</v>
      </c>
      <c r="K12" t="s">
        <v>27</v>
      </c>
    </row>
    <row r="13" spans="1:11" x14ac:dyDescent="0.45">
      <c r="A13" t="s">
        <v>70</v>
      </c>
      <c r="B13" t="s">
        <v>55</v>
      </c>
      <c r="I13" t="str">
        <f>MID($K13, 30, 7)</f>
        <v>合約已進行_月</v>
      </c>
      <c r="K13" t="s">
        <v>28</v>
      </c>
    </row>
    <row r="14" spans="1:11" x14ac:dyDescent="0.45">
      <c r="A14" t="s">
        <v>71</v>
      </c>
      <c r="B14" t="s">
        <v>56</v>
      </c>
      <c r="I14" t="str">
        <f>MID($K14, 30, 7)</f>
        <v>合約總價_含稅</v>
      </c>
      <c r="K14" t="s">
        <v>29</v>
      </c>
    </row>
    <row r="15" spans="1:11" x14ac:dyDescent="0.45">
      <c r="A15" t="s">
        <v>72</v>
      </c>
      <c r="B15" t="s">
        <v>57</v>
      </c>
      <c r="I15" t="str">
        <f>MID($K15, 30, 7)</f>
        <v>合約總價_未稅</v>
      </c>
      <c r="K15" t="s">
        <v>30</v>
      </c>
    </row>
    <row r="16" spans="1:11" x14ac:dyDescent="0.45">
      <c r="A16" t="s">
        <v>73</v>
      </c>
      <c r="B16" t="s">
        <v>58</v>
      </c>
      <c r="E16" t="s">
        <v>95</v>
      </c>
      <c r="F16" t="s">
        <v>95</v>
      </c>
      <c r="I16" t="str">
        <f>MID($K16, 30, 4)</f>
        <v>合約狀態</v>
      </c>
      <c r="K16" t="s">
        <v>31</v>
      </c>
    </row>
    <row r="17" spans="1:11" x14ac:dyDescent="0.45">
      <c r="A17" t="s">
        <v>74</v>
      </c>
      <c r="B17" t="s">
        <v>59</v>
      </c>
      <c r="E17" t="s">
        <v>95</v>
      </c>
      <c r="F17" t="s">
        <v>95</v>
      </c>
      <c r="I17" t="str">
        <f>MID($K17, 30, 7)</f>
        <v>開始後來店頻率</v>
      </c>
      <c r="K17" t="s">
        <v>32</v>
      </c>
    </row>
    <row r="18" spans="1:11" x14ac:dyDescent="0.45">
      <c r="A18" t="s">
        <v>75</v>
      </c>
      <c r="B18" t="s">
        <v>60</v>
      </c>
      <c r="E18" t="s">
        <v>95</v>
      </c>
      <c r="F18" t="s">
        <v>95</v>
      </c>
      <c r="I18" t="str">
        <f>MID($K18, 30, 4)</f>
        <v>堂數排序</v>
      </c>
      <c r="K18" t="s">
        <v>33</v>
      </c>
    </row>
    <row r="19" spans="1:11" x14ac:dyDescent="0.45">
      <c r="A19" t="s">
        <v>76</v>
      </c>
      <c r="B19" t="s">
        <v>14</v>
      </c>
      <c r="I19" t="str">
        <f>MID($K19, 30, 4)</f>
        <v>合約堂數</v>
      </c>
      <c r="K19" t="s">
        <v>34</v>
      </c>
    </row>
    <row r="20" spans="1:11" x14ac:dyDescent="0.45">
      <c r="A20" t="s">
        <v>77</v>
      </c>
      <c r="B20" t="s">
        <v>61</v>
      </c>
      <c r="E20" t="s">
        <v>95</v>
      </c>
      <c r="F20" t="s">
        <v>95</v>
      </c>
      <c r="I20" t="str">
        <f>MID($K20, 30, 7)</f>
        <v>合約已執行堂數</v>
      </c>
      <c r="K20" t="s">
        <v>35</v>
      </c>
    </row>
    <row r="21" spans="1:11" x14ac:dyDescent="0.45">
      <c r="A21" t="s">
        <v>78</v>
      </c>
      <c r="B21" t="s">
        <v>62</v>
      </c>
      <c r="F21" t="s">
        <v>95</v>
      </c>
      <c r="I21" t="str">
        <f>MID($K21, 30, 6)</f>
        <v>合約退會堂數</v>
      </c>
      <c r="K21" t="s">
        <v>36</v>
      </c>
    </row>
    <row r="22" spans="1:11" x14ac:dyDescent="0.45">
      <c r="A22" t="s">
        <v>79</v>
      </c>
      <c r="B22" t="s">
        <v>63</v>
      </c>
      <c r="F22" t="s">
        <v>95</v>
      </c>
      <c r="I22" t="str">
        <f>MID($K22, 30, 6)</f>
        <v>合約剩餘堂數</v>
      </c>
      <c r="K22" t="s">
        <v>37</v>
      </c>
    </row>
    <row r="23" spans="1:11" x14ac:dyDescent="0.45">
      <c r="A23" t="s">
        <v>80</v>
      </c>
      <c r="B23" t="s">
        <v>132</v>
      </c>
      <c r="F23" t="s">
        <v>95</v>
      </c>
      <c r="I23" t="str">
        <f>MID($K23, 30, 7)</f>
        <v>課程單價_含稅</v>
      </c>
      <c r="K23" t="s">
        <v>38</v>
      </c>
    </row>
    <row r="24" spans="1:11" x14ac:dyDescent="0.45">
      <c r="A24" t="s">
        <v>81</v>
      </c>
      <c r="B24" t="s">
        <v>134</v>
      </c>
      <c r="E24" t="s">
        <v>95</v>
      </c>
      <c r="F24" t="s">
        <v>95</v>
      </c>
      <c r="I24" t="str">
        <f>MID($K24, 30, 7)</f>
        <v>課程單價_未稅</v>
      </c>
      <c r="K24" t="s">
        <v>39</v>
      </c>
    </row>
    <row r="25" spans="1:11" x14ac:dyDescent="0.45">
      <c r="A25" t="s">
        <v>82</v>
      </c>
      <c r="B25" t="s">
        <v>133</v>
      </c>
      <c r="F25" t="s">
        <v>97</v>
      </c>
      <c r="I25" t="str">
        <f>MID($K25, 30, 10)</f>
        <v>合約已認列金額_含稅</v>
      </c>
      <c r="K25" t="s">
        <v>40</v>
      </c>
    </row>
    <row r="26" spans="1:11" x14ac:dyDescent="0.45">
      <c r="A26" t="s">
        <v>83</v>
      </c>
      <c r="B26" t="s">
        <v>64</v>
      </c>
      <c r="E26" t="s">
        <v>95</v>
      </c>
      <c r="F26" t="s">
        <v>95</v>
      </c>
      <c r="I26" t="str">
        <f>MID($K26, 30, 10)</f>
        <v>合約已認列金額_未稅</v>
      </c>
      <c r="K26" t="s">
        <v>41</v>
      </c>
    </row>
    <row r="27" spans="1:11" x14ac:dyDescent="0.45">
      <c r="A27" t="s">
        <v>84</v>
      </c>
      <c r="B27" t="s">
        <v>65</v>
      </c>
      <c r="E27" t="s">
        <v>95</v>
      </c>
      <c r="F27" t="s">
        <v>95</v>
      </c>
      <c r="I27" t="str">
        <f>MID($K27, 30, 10)</f>
        <v>合約未認列金額_含稅</v>
      </c>
      <c r="K27" t="s">
        <v>42</v>
      </c>
    </row>
    <row r="28" spans="1:11" x14ac:dyDescent="0.45">
      <c r="A28" t="s">
        <v>85</v>
      </c>
      <c r="B28" t="s">
        <v>139</v>
      </c>
      <c r="E28" t="s">
        <v>95</v>
      </c>
      <c r="F28" t="s">
        <v>95</v>
      </c>
      <c r="I28" t="str">
        <f>MID($K28, 30, 10)</f>
        <v>合約未認列金額_未稅</v>
      </c>
      <c r="K28" t="s">
        <v>43</v>
      </c>
    </row>
    <row r="29" spans="1:11" x14ac:dyDescent="0.45">
      <c r="A29" t="s">
        <v>86</v>
      </c>
      <c r="B29" t="s">
        <v>66</v>
      </c>
      <c r="E29" t="s">
        <v>95</v>
      </c>
      <c r="F29" t="s">
        <v>95</v>
      </c>
      <c r="I29" t="str">
        <f>MID($K29, 30, 9)</f>
        <v>當日認列金額_含稅</v>
      </c>
      <c r="K29" t="s">
        <v>44</v>
      </c>
    </row>
    <row r="30" spans="1:11" x14ac:dyDescent="0.45">
      <c r="A30" t="s">
        <v>87</v>
      </c>
      <c r="B30" t="s">
        <v>142</v>
      </c>
      <c r="E30" t="s">
        <v>95</v>
      </c>
      <c r="F30" t="s">
        <v>95</v>
      </c>
      <c r="I30" t="str">
        <f>MID($K30, 30, 9)</f>
        <v>當日認列金額_未稅</v>
      </c>
      <c r="K30" t="s">
        <v>45</v>
      </c>
    </row>
    <row r="31" spans="1:11" x14ac:dyDescent="0.45">
      <c r="A31" t="s">
        <v>88</v>
      </c>
      <c r="B31" t="s">
        <v>67</v>
      </c>
      <c r="E31" t="s">
        <v>95</v>
      </c>
      <c r="F31" t="s">
        <v>95</v>
      </c>
    </row>
    <row r="32" spans="1:11" x14ac:dyDescent="0.45">
      <c r="A32" t="s">
        <v>89</v>
      </c>
      <c r="B32" t="s">
        <v>68</v>
      </c>
      <c r="E32" t="s">
        <v>95</v>
      </c>
      <c r="F32" t="s">
        <v>95</v>
      </c>
    </row>
    <row r="33" spans="1:6" x14ac:dyDescent="0.45">
      <c r="A33" t="s">
        <v>90</v>
      </c>
      <c r="B33" t="s">
        <v>69</v>
      </c>
      <c r="E33" t="s">
        <v>95</v>
      </c>
      <c r="F33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104</v>
      </c>
      <c r="G2" t="s">
        <v>3</v>
      </c>
    </row>
    <row r="3" spans="1:7" x14ac:dyDescent="0.45">
      <c r="A3" t="s">
        <v>2</v>
      </c>
      <c r="B3" t="s">
        <v>91</v>
      </c>
    </row>
    <row r="4" spans="1:7" x14ac:dyDescent="0.45">
      <c r="A4" t="s">
        <v>5</v>
      </c>
      <c r="B4" t="s">
        <v>47</v>
      </c>
    </row>
    <row r="5" spans="1:7" x14ac:dyDescent="0.45">
      <c r="A5" t="s">
        <v>6</v>
      </c>
      <c r="B5" t="s">
        <v>48</v>
      </c>
    </row>
    <row r="6" spans="1:7" x14ac:dyDescent="0.45">
      <c r="A6" t="s">
        <v>7</v>
      </c>
      <c r="B6" t="s">
        <v>49</v>
      </c>
    </row>
    <row r="7" spans="1:7" x14ac:dyDescent="0.45">
      <c r="A7" t="s">
        <v>8</v>
      </c>
      <c r="B7" t="s">
        <v>50</v>
      </c>
    </row>
    <row r="8" spans="1:7" x14ac:dyDescent="0.45">
      <c r="A8" t="s">
        <v>9</v>
      </c>
      <c r="B8" t="s">
        <v>51</v>
      </c>
    </row>
    <row r="9" spans="1:7" x14ac:dyDescent="0.45">
      <c r="A9" t="s">
        <v>10</v>
      </c>
      <c r="B9" t="s">
        <v>52</v>
      </c>
    </row>
    <row r="10" spans="1:7" x14ac:dyDescent="0.45">
      <c r="A10" t="s">
        <v>11</v>
      </c>
      <c r="B10" t="s">
        <v>98</v>
      </c>
    </row>
    <row r="11" spans="1:7" x14ac:dyDescent="0.45">
      <c r="A11" t="s">
        <v>12</v>
      </c>
      <c r="B11" t="s">
        <v>53</v>
      </c>
    </row>
    <row r="12" spans="1:7" x14ac:dyDescent="0.45">
      <c r="A12" t="s">
        <v>16</v>
      </c>
      <c r="B12" t="s">
        <v>54</v>
      </c>
    </row>
    <row r="13" spans="1:7" x14ac:dyDescent="0.45">
      <c r="A13" t="s">
        <v>70</v>
      </c>
      <c r="B13" t="s">
        <v>55</v>
      </c>
    </row>
    <row r="14" spans="1:7" x14ac:dyDescent="0.45">
      <c r="A14" t="s">
        <v>71</v>
      </c>
      <c r="B14" t="s">
        <v>99</v>
      </c>
      <c r="E14" t="s">
        <v>95</v>
      </c>
      <c r="F14" t="s">
        <v>95</v>
      </c>
    </row>
    <row r="15" spans="1:7" x14ac:dyDescent="0.45">
      <c r="A15" t="s">
        <v>72</v>
      </c>
      <c r="B15" t="s">
        <v>100</v>
      </c>
      <c r="E15" t="s">
        <v>95</v>
      </c>
      <c r="F15" t="s">
        <v>95</v>
      </c>
    </row>
    <row r="16" spans="1:7" x14ac:dyDescent="0.45">
      <c r="A16" t="s">
        <v>73</v>
      </c>
      <c r="B16" t="s">
        <v>101</v>
      </c>
    </row>
    <row r="17" spans="1:2" x14ac:dyDescent="0.45">
      <c r="A17" t="s">
        <v>74</v>
      </c>
      <c r="B17" t="s">
        <v>102</v>
      </c>
    </row>
    <row r="18" spans="1:2" x14ac:dyDescent="0.45">
      <c r="A18" t="s">
        <v>75</v>
      </c>
      <c r="B18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4"/>
  <sheetViews>
    <sheetView tabSelected="1" topLeftCell="A19" workbookViewId="0">
      <selection activeCell="B28" sqref="B28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105</v>
      </c>
      <c r="G2" t="s">
        <v>3</v>
      </c>
    </row>
    <row r="3" spans="1:7" x14ac:dyDescent="0.45">
      <c r="A3" t="s">
        <v>2</v>
      </c>
      <c r="B3" t="s">
        <v>107</v>
      </c>
    </row>
    <row r="4" spans="1:7" x14ac:dyDescent="0.45">
      <c r="A4" t="s">
        <v>5</v>
      </c>
      <c r="B4" t="s">
        <v>112</v>
      </c>
    </row>
    <row r="5" spans="1:7" x14ac:dyDescent="0.45">
      <c r="A5" t="s">
        <v>6</v>
      </c>
      <c r="B5" t="s">
        <v>113</v>
      </c>
    </row>
    <row r="6" spans="1:7" x14ac:dyDescent="0.45">
      <c r="A6" t="s">
        <v>7</v>
      </c>
      <c r="B6" t="s">
        <v>114</v>
      </c>
    </row>
    <row r="7" spans="1:7" x14ac:dyDescent="0.45">
      <c r="A7" t="s">
        <v>8</v>
      </c>
      <c r="B7" t="s">
        <v>115</v>
      </c>
    </row>
    <row r="8" spans="1:7" x14ac:dyDescent="0.45">
      <c r="A8" t="s">
        <v>9</v>
      </c>
      <c r="B8" t="s">
        <v>116</v>
      </c>
    </row>
    <row r="9" spans="1:7" x14ac:dyDescent="0.45">
      <c r="A9" t="s">
        <v>10</v>
      </c>
      <c r="B9" t="s">
        <v>98</v>
      </c>
    </row>
    <row r="10" spans="1:7" x14ac:dyDescent="0.45">
      <c r="A10" t="s">
        <v>11</v>
      </c>
      <c r="B10" t="s">
        <v>117</v>
      </c>
    </row>
    <row r="11" spans="1:7" x14ac:dyDescent="0.45">
      <c r="A11" t="s">
        <v>12</v>
      </c>
      <c r="B11" t="s">
        <v>110</v>
      </c>
      <c r="E11" t="s">
        <v>95</v>
      </c>
      <c r="F11" t="s">
        <v>95</v>
      </c>
    </row>
    <row r="12" spans="1:7" x14ac:dyDescent="0.45">
      <c r="A12" t="s">
        <v>16</v>
      </c>
      <c r="B12" t="s">
        <v>111</v>
      </c>
      <c r="E12" t="s">
        <v>95</v>
      </c>
      <c r="F12" t="s">
        <v>95</v>
      </c>
    </row>
    <row r="13" spans="1:7" x14ac:dyDescent="0.45">
      <c r="A13" t="s">
        <v>70</v>
      </c>
      <c r="B13" t="s">
        <v>118</v>
      </c>
      <c r="F13" t="s">
        <v>108</v>
      </c>
    </row>
    <row r="14" spans="1:7" x14ac:dyDescent="0.45">
      <c r="A14" t="s">
        <v>71</v>
      </c>
      <c r="B14" t="s">
        <v>228</v>
      </c>
      <c r="E14" t="s">
        <v>95</v>
      </c>
      <c r="F14" t="s">
        <v>95</v>
      </c>
    </row>
    <row r="15" spans="1:7" x14ac:dyDescent="0.45">
      <c r="A15" t="s">
        <v>72</v>
      </c>
      <c r="B15" t="s">
        <v>229</v>
      </c>
      <c r="E15" t="s">
        <v>95</v>
      </c>
      <c r="F15" t="s">
        <v>95</v>
      </c>
    </row>
    <row r="16" spans="1:7" x14ac:dyDescent="0.45">
      <c r="A16" t="s">
        <v>73</v>
      </c>
      <c r="B16" t="s">
        <v>109</v>
      </c>
      <c r="E16" t="s">
        <v>97</v>
      </c>
      <c r="F16" t="s">
        <v>97</v>
      </c>
    </row>
    <row r="17" spans="1:6" x14ac:dyDescent="0.45">
      <c r="A17" t="s">
        <v>74</v>
      </c>
      <c r="B17" t="s">
        <v>119</v>
      </c>
      <c r="E17" t="s">
        <v>97</v>
      </c>
      <c r="F17" t="s">
        <v>97</v>
      </c>
    </row>
    <row r="18" spans="1:6" x14ac:dyDescent="0.45">
      <c r="A18" t="s">
        <v>75</v>
      </c>
      <c r="B18" t="s">
        <v>120</v>
      </c>
    </row>
    <row r="19" spans="1:6" x14ac:dyDescent="0.45">
      <c r="A19" t="s">
        <v>76</v>
      </c>
      <c r="B19" t="s">
        <v>122</v>
      </c>
      <c r="E19" t="s">
        <v>95</v>
      </c>
      <c r="F19" t="s">
        <v>95</v>
      </c>
    </row>
    <row r="20" spans="1:6" x14ac:dyDescent="0.45">
      <c r="A20" t="s">
        <v>77</v>
      </c>
      <c r="B20" t="s">
        <v>123</v>
      </c>
      <c r="E20" t="s">
        <v>95</v>
      </c>
      <c r="F20" t="s">
        <v>95</v>
      </c>
    </row>
    <row r="21" spans="1:6" x14ac:dyDescent="0.45">
      <c r="A21" t="s">
        <v>78</v>
      </c>
      <c r="B21" t="s">
        <v>106</v>
      </c>
    </row>
    <row r="22" spans="1:6" x14ac:dyDescent="0.45">
      <c r="A22" t="s">
        <v>79</v>
      </c>
      <c r="B22" t="s">
        <v>121</v>
      </c>
    </row>
    <row r="23" spans="1:6" x14ac:dyDescent="0.45">
      <c r="A23" t="s">
        <v>80</v>
      </c>
      <c r="B23" t="s">
        <v>102</v>
      </c>
    </row>
    <row r="24" spans="1:6" x14ac:dyDescent="0.45">
      <c r="A24" t="s">
        <v>81</v>
      </c>
      <c r="B24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contracts</vt:lpstr>
      <vt:lpstr>session</vt:lpstr>
      <vt:lpstr>admissionFee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2021-08-16T09:44:26Z</dcterms:modified>
</cp:coreProperties>
</file>